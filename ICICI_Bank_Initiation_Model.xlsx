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Historical" sheetId="3" state="visible" r:id="rId5"/>
    <sheet name="Forecast" sheetId="4" state="visible" r:id="rId6"/>
    <sheet name="Valuation" sheetId="5" state="visible" r:id="rId7"/>
    <sheet name="Peers" sheetId="6" state="visible" r:id="rId8"/>
    <sheet name="Sources" sheetId="7" state="visible" r:id="rId9"/>
  </sheets>
  <definedNames>
    <definedName function="false" hidden="false" name="PAT_FY28E" vbProcedure="false">Forecast!$D$21</definedName>
    <definedName function="false" hidden="false" name="Rating" vbProcedure="false">Valuation!$B$27</definedName>
    <definedName function="false" hidden="false" name="RoE_FY28E" vbProcedure="false">Forecast!$D$38</definedName>
    <definedName function="false" hidden="false" name="ScenarioOut" vbProcedure="false">Valuation!$A$51</definedName>
    <definedName function="false" hidden="false" name="ScenarioSelector" vbProcedure="false">Inputs!$B$17</definedName>
    <definedName function="false" hidden="false" name="TargetPrice" vbProcedure="false">Valuation!$B$24</definedName>
    <definedName function="false" hidden="false" name="Upside" vbProcedure="false">Valuation!$B$26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2" authorId="0">
      <text>
        <r>
          <rPr>
            <sz val="10"/>
            <rFont val="Arial"/>
            <family val="2"/>
          </rPr>
          <t xml:space="preserve">FY22 full-year NIM not captured in the sources used; left blank.</t>
        </r>
      </text>
    </comment>
    <comment ref="B49" authorId="0">
      <text>
        <r>
          <rPr>
            <sz val="10"/>
            <rFont val="Arial"/>
            <family val="2"/>
          </rPr>
          <t xml:space="preserve">Average-based ratios start FY23: Mar-21 balance sheet not in model.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6" authorId="0">
      <text>
        <r>
          <rPr>
            <sz val="10"/>
            <rFont val="Arial"/>
            <family val="2"/>
          </rPr>
          <t xml:space="preserve">51% (Business Standard, Dec-2025) + 2% bought in FY26 (Q4 FY26 release)</t>
        </r>
      </text>
    </comment>
    <comment ref="C17" authorId="0">
      <text>
        <r>
          <rPr>
            <sz val="10"/>
            <rFont val="Arial"/>
            <family val="2"/>
          </rPr>
          <t xml:space="preserve">Approximate; verify in latest NSE shareholding pattern</t>
        </r>
      </text>
    </comment>
    <comment ref="C18" authorId="0">
      <text>
        <r>
          <rPr>
            <sz val="10"/>
            <rFont val="Arial"/>
            <family val="2"/>
          </rPr>
          <t xml:space="preserve">~52.8% after 2% purchase completed 2-Sep-2026 (Upstox, Kotak Neo)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7" authorId="0">
      <text>
        <r>
          <rPr>
            <sz val="10"/>
            <rFont val="Arial"/>
            <family val="2"/>
          </rPr>
          <t xml:space="preserve">RoE not returned by the data provider; excluded from medians.</t>
        </r>
      </text>
    </comment>
  </commentList>
</comments>
</file>

<file path=xl/sharedStrings.xml><?xml version="1.0" encoding="utf-8"?>
<sst xmlns="http://schemas.openxmlformats.org/spreadsheetml/2006/main" count="364" uniqueCount="291">
  <si>
    <t xml:space="preserve">ICICI Bank Ltd (NSE: ICICIBANK): Initiation model</t>
  </si>
  <si>
    <t xml:space="preserve">Equity research project. Standalone financials, Rs crore unless stated. Not investment advice.</t>
  </si>
  <si>
    <t xml:space="preserve">Call</t>
  </si>
  <si>
    <t xml:space="preserve">Rating</t>
  </si>
  <si>
    <t xml:space="preserve">12-month target price (Rs)</t>
  </si>
  <si>
    <t xml:space="preserve">Current price (Rs), 1-Oct-2026</t>
  </si>
  <si>
    <t xml:space="preserve">Upside / (downside)</t>
  </si>
  <si>
    <t xml:space="preserve">Scenario shown</t>
  </si>
  <si>
    <t xml:space="preserve">Cost of equity</t>
  </si>
  <si>
    <t xml:space="preserve">Key financials</t>
  </si>
  <si>
    <t xml:space="preserve">Rs crore</t>
  </si>
  <si>
    <t xml:space="preserve">FY25A</t>
  </si>
  <si>
    <t xml:space="preserve">FY26A</t>
  </si>
  <si>
    <t xml:space="preserve">FY27E</t>
  </si>
  <si>
    <t xml:space="preserve">FY28E</t>
  </si>
  <si>
    <t xml:space="preserve">Net interest income</t>
  </si>
  <si>
    <t xml:space="preserve">Profit after tax</t>
  </si>
  <si>
    <t xml:space="preserve">EPS (Rs)</t>
  </si>
  <si>
    <t xml:space="preserve">Book value per share (Rs)</t>
  </si>
  <si>
    <t xml:space="preserve">RoA</t>
  </si>
  <si>
    <t xml:space="preserve">RoE</t>
  </si>
  <si>
    <t xml:space="preserve">Credit cost</t>
  </si>
  <si>
    <t xml:space="preserve">How to use</t>
  </si>
  <si>
    <t xml:space="preserve">1. Inputs: change blue cells. Yellow cells are the key levers (scenario selector, equity risk premium).</t>
  </si>
  <si>
    <t xml:space="preserve">2. Scenario selector (Inputs) switches every driver between Bear, Base and Bull.</t>
  </si>
  <si>
    <t xml:space="preserve">3. VBA: open the VBA editor (Alt+F11), File &gt; Import File &gt; ScenarioRunner.bas, then save as .xlsm.</t>
  </si>
  <si>
    <t xml:space="preserve">4. Run the macro RunScenarios (Alt+F8) to record all three cases on Valuation, section G.</t>
  </si>
  <si>
    <t xml:space="preserve">Colour code: blue = hardcoded input, black = formula, green = link to another sheet.</t>
  </si>
  <si>
    <t xml:space="preserve">Inputs and assumptions</t>
  </si>
  <si>
    <t xml:space="preserve">Blue = hardcoded input; black = formula; green = link to another sheet; yellow = key lever</t>
  </si>
  <si>
    <t xml:space="preserve">Market data (NSE close, 1 Oct 2026; market shut 2 Oct)</t>
  </si>
  <si>
    <t xml:space="preserve">Current market price (Rs)</t>
  </si>
  <si>
    <t xml:space="preserve">Yahoo Finance via yfinance, ICICIBANK.NS close 1-Oct-2026</t>
  </si>
  <si>
    <t xml:space="preserve">Face value per share (Rs)</t>
  </si>
  <si>
    <t xml:space="preserve">ICICI Bank equity shares, face value Rs 2</t>
  </si>
  <si>
    <t xml:space="preserve">Shares outstanding (crore)</t>
  </si>
  <si>
    <t xml:space="preserve">Mar-26 equity capital / face value</t>
  </si>
  <si>
    <t xml:space="preserve">Market capitalisation (Rs crore)</t>
  </si>
  <si>
    <t xml:space="preserve">Cost of equity (CAPM)</t>
  </si>
  <si>
    <t xml:space="preserve">Risk-free rate (India 10Y G-sec)</t>
  </si>
  <si>
    <t xml:space="preserve">~7.17% on 28-Sep-2026 (Trading Economics), rounded to 7.15%</t>
  </si>
  <si>
    <t xml:space="preserve">Beta vs Nifty 50</t>
  </si>
  <si>
    <t xml:space="preserve">2-year weekly log-return regression, 105 weeks to 1-Oct-2026 (computed from yfinance prices)</t>
  </si>
  <si>
    <t xml:space="preserve">Equity risk premium (India)</t>
  </si>
  <si>
    <t xml:space="preserve">Analyst assumption; Indian sell-side practice typically 5.0% to 6.5%</t>
  </si>
  <si>
    <t xml:space="preserve">Cost of equity (Ke)</t>
  </si>
  <si>
    <t xml:space="preserve">Ke = Rf + Beta x ERP</t>
  </si>
  <si>
    <t xml:space="preserve">Scenario selector</t>
  </si>
  <si>
    <t xml:space="preserve">Active scenario (1 = Bear, 2 = Base, 3 = Bull)</t>
  </si>
  <si>
    <t xml:space="preserve">Change this cell, or run the VBA macro RunScenarios to record all three</t>
  </si>
  <si>
    <t xml:space="preserve">Active scenario name</t>
  </si>
  <si>
    <t xml:space="preserve">Scenario drivers</t>
  </si>
  <si>
    <t xml:space="preserve">Driver</t>
  </si>
  <si>
    <t xml:space="preserve">Year</t>
  </si>
  <si>
    <t xml:space="preserve">Bear</t>
  </si>
  <si>
    <t xml:space="preserve">Base</t>
  </si>
  <si>
    <t xml:space="preserve">Bull</t>
  </si>
  <si>
    <t xml:space="preserve">Active</t>
  </si>
  <si>
    <t xml:space="preserve">Rationale</t>
  </si>
  <si>
    <t xml:space="preserve">Advances growth</t>
  </si>
  <si>
    <t xml:space="preserve">Q1 FY27 loans +19.6% YoY; system credit ~17.7% (RBI, Jun-26)</t>
  </si>
  <si>
    <t xml:space="preserve">Moderates as base grows; above nominal GDP</t>
  </si>
  <si>
    <t xml:space="preserve">Deposit growth</t>
  </si>
  <si>
    <t xml:space="preserve">Q1 FY27 deposits +14.0% YoY; system ~12%</t>
  </si>
  <si>
    <t xml:space="preserve">Deposit competition caps growth</t>
  </si>
  <si>
    <t xml:space="preserve">Total assets growth</t>
  </si>
  <si>
    <t xml:space="preserve">Tracks blend of loan and deposit growth</t>
  </si>
  <si>
    <t xml:space="preserve">NII / average total assets</t>
  </si>
  <si>
    <t xml:space="preserve">FY26A 3.92%; Q1 FY27 NIM 4.36% stable</t>
  </si>
  <si>
    <t xml:space="preserve">Bear: deposit cost pressure</t>
  </si>
  <si>
    <t xml:space="preserve">Non-interest income growth</t>
  </si>
  <si>
    <t xml:space="preserve">Q1 FY27 fees +23.5%, core non-II +16%</t>
  </si>
  <si>
    <t xml:space="preserve">Cost-to-income</t>
  </si>
  <si>
    <t xml:space="preserve">FY26A 40.2%; branch expansion continues</t>
  </si>
  <si>
    <t xml:space="preserve">Operating leverage in base and bull</t>
  </si>
  <si>
    <t xml:space="preserve">Credit cost (provisions / avg advances)</t>
  </si>
  <si>
    <t xml:space="preserve">FY26A 0.37%; management guides under 0.50%</t>
  </si>
  <si>
    <t xml:space="preserve">Bear: unsecured retail cycle turns</t>
  </si>
  <si>
    <t xml:space="preserve">Long-term growth (g) for justified P/B</t>
  </si>
  <si>
    <t xml:space="preserve">Terminal</t>
  </si>
  <si>
    <t xml:space="preserve">Below Ke; anchored to nominal GDP growth</t>
  </si>
  <si>
    <t xml:space="preserve">Holding-company discount on subsidiaries</t>
  </si>
  <si>
    <t xml:space="preserve">Valuation</t>
  </si>
  <si>
    <t xml:space="preserve">Standard 15% to 30% range</t>
  </si>
  <si>
    <t xml:space="preserve">Fixed assumptions (all scenarios)</t>
  </si>
  <si>
    <t xml:space="preserve">Effective tax rate</t>
  </si>
  <si>
    <t xml:space="preserve">FY26A effective rate 24.3%</t>
  </si>
  <si>
    <t xml:space="preserve">Dividend payout ratio</t>
  </si>
  <si>
    <t xml:space="preserve">FY26 DPS Rs 12 x 716 cr shares / PAT = ~17%</t>
  </si>
  <si>
    <t xml:space="preserve">Treasury income FY27E-FY28E (Rs crore)</t>
  </si>
  <si>
    <t xml:space="preserve">Not forecast: volatile and non-core</t>
  </si>
  <si>
    <t xml:space="preserve">Rating rule (12-month upside to target)</t>
  </si>
  <si>
    <t xml:space="preserve">BUY if upside at or above</t>
  </si>
  <si>
    <t xml:space="preserve">SELL if upside below</t>
  </si>
  <si>
    <t xml:space="preserve">Otherwise HOLD</t>
  </si>
  <si>
    <t xml:space="preserve">Historical financials, standalone (Rs crore unless stated)</t>
  </si>
  <si>
    <t xml:space="preserve">Source: ICICI Bank audited results press releases, FY2023, FY2024, FY2026 (see Sources). Fiscal year ends 31 March.</t>
  </si>
  <si>
    <t xml:space="preserve">FY22</t>
  </si>
  <si>
    <t xml:space="preserve">FY23</t>
  </si>
  <si>
    <t xml:space="preserve">FY24</t>
  </si>
  <si>
    <t xml:space="preserve">FY25</t>
  </si>
  <si>
    <t xml:space="preserve">FY26</t>
  </si>
  <si>
    <t xml:space="preserve">Profit and loss</t>
  </si>
  <si>
    <t xml:space="preserve">Non-interest income (excl. treasury)</t>
  </si>
  <si>
    <t xml:space="preserve">   of which fee income</t>
  </si>
  <si>
    <t xml:space="preserve">Operating expenses</t>
  </si>
  <si>
    <t xml:space="preserve">Core operating profit</t>
  </si>
  <si>
    <t xml:space="preserve">Provisions</t>
  </si>
  <si>
    <t xml:space="preserve">Profit before tax excl. treasury</t>
  </si>
  <si>
    <t xml:space="preserve">Treasury income</t>
  </si>
  <si>
    <t xml:space="preserve">Profit before tax</t>
  </si>
  <si>
    <t xml:space="preserve">Provision for taxes</t>
  </si>
  <si>
    <t xml:space="preserve">Check: reported PAT</t>
  </si>
  <si>
    <t xml:space="preserve">Check: difference (should be 0)</t>
  </si>
  <si>
    <t xml:space="preserve">Balance sheet, 31 March</t>
  </si>
  <si>
    <t xml:space="preserve">Equity share capital</t>
  </si>
  <si>
    <t xml:space="preserve">Employee stock options outstanding</t>
  </si>
  <si>
    <t xml:space="preserve">Reserves and surplus</t>
  </si>
  <si>
    <t xml:space="preserve">Deposits</t>
  </si>
  <si>
    <t xml:space="preserve">Borrowings (incl. subordinated debt)</t>
  </si>
  <si>
    <t xml:space="preserve">Other liabilities and provisions</t>
  </si>
  <si>
    <t xml:space="preserve">Total capital and liabilities</t>
  </si>
  <si>
    <t xml:space="preserve">Cash and balances with RBI</t>
  </si>
  <si>
    <t xml:space="preserve">Balances with banks, money at call</t>
  </si>
  <si>
    <t xml:space="preserve">Investments</t>
  </si>
  <si>
    <t xml:space="preserve">Advances</t>
  </si>
  <si>
    <t xml:space="preserve">Fixed assets</t>
  </si>
  <si>
    <t xml:space="preserve">Other assets</t>
  </si>
  <si>
    <t xml:space="preserve">Total assets</t>
  </si>
  <si>
    <t xml:space="preserve">Check: liabilities minus assets (should be 0)</t>
  </si>
  <si>
    <t xml:space="preserve">Net worth (capital + reserves)</t>
  </si>
  <si>
    <t xml:space="preserve">Asset quality (reported, 31 March)</t>
  </si>
  <si>
    <t xml:space="preserve">Gross NPA ratio</t>
  </si>
  <si>
    <t xml:space="preserve">Net NPA ratio</t>
  </si>
  <si>
    <t xml:space="preserve">Net interest margin (reported, full year)</t>
  </si>
  <si>
    <t xml:space="preserve">Key ratios (computed)</t>
  </si>
  <si>
    <t xml:space="preserve">NII growth</t>
  </si>
  <si>
    <t xml:space="preserve">PAT growth</t>
  </si>
  <si>
    <t xml:space="preserve">Cost-to-income (core)</t>
  </si>
  <si>
    <t xml:space="preserve">Return on average assets (RoA)</t>
  </si>
  <si>
    <t xml:space="preserve">Return on average equity (RoE)</t>
  </si>
  <si>
    <t xml:space="preserve">Credit-deposit ratio</t>
  </si>
  <si>
    <t xml:space="preserve">EPS (Rs, on year-end shares)</t>
  </si>
  <si>
    <t xml:space="preserve">Latest quarter: Q1 FY27 (Apr-Jun 2026), reported</t>
  </si>
  <si>
    <t xml:space="preserve">Metric</t>
  </si>
  <si>
    <t xml:space="preserve">Q1 FY27</t>
  </si>
  <si>
    <t xml:space="preserve">YoY / prior</t>
  </si>
  <si>
    <t xml:space="preserve">Net interest income (Rs crore)</t>
  </si>
  <si>
    <t xml:space="preserve">+12.7%</t>
  </si>
  <si>
    <t xml:space="preserve">Net interest margin</t>
  </si>
  <si>
    <t xml:space="preserve">4.34% in Q1 FY26</t>
  </si>
  <si>
    <t xml:space="preserve">Fee income (Rs crore)</t>
  </si>
  <si>
    <t xml:space="preserve">+23.5%</t>
  </si>
  <si>
    <t xml:space="preserve">Provisions (Rs crore)</t>
  </si>
  <si>
    <t xml:space="preserve">-30.6%</t>
  </si>
  <si>
    <t xml:space="preserve">Profit after tax (Rs crore)</t>
  </si>
  <si>
    <t xml:space="preserve">+15.9%</t>
  </si>
  <si>
    <t xml:space="preserve">Advances (Rs crore)</t>
  </si>
  <si>
    <t xml:space="preserve">+19.6%</t>
  </si>
  <si>
    <t xml:space="preserve">Deposits (Rs crore)</t>
  </si>
  <si>
    <t xml:space="preserve">+14.0%</t>
  </si>
  <si>
    <t xml:space="preserve">0.41% in Q1 FY26</t>
  </si>
  <si>
    <t xml:space="preserve">CET-1 ratio</t>
  </si>
  <si>
    <t xml:space="preserve">16.35% at Mar-26</t>
  </si>
  <si>
    <t xml:space="preserve">Source: ICICI Bank Q1 FY27 standalone results, 18-Jul-2026, as reported by Capital Market / JM Financial and MarketBeat (see Sources)</t>
  </si>
  <si>
    <t xml:space="preserve">Forecast, standalone (Rs crore unless stated)</t>
  </si>
  <si>
    <t xml:space="preserve">Drivers come from the Active column on Inputs. Change the scenario selector to switch cases.</t>
  </si>
  <si>
    <t xml:space="preserve">Balance sheet</t>
  </si>
  <si>
    <t xml:space="preserve">Prior x (1 + advances growth)</t>
  </si>
  <si>
    <t xml:space="preserve">Prior x (1 + deposit growth)</t>
  </si>
  <si>
    <t xml:space="preserve">Prior x (1 + asset growth)</t>
  </si>
  <si>
    <t xml:space="preserve">NII / avg assets x average total assets</t>
  </si>
  <si>
    <t xml:space="preserve">Prior x (1 + growth)</t>
  </si>
  <si>
    <t xml:space="preserve">Core operating income</t>
  </si>
  <si>
    <t xml:space="preserve">Cost-to-income x core operating income</t>
  </si>
  <si>
    <t xml:space="preserve">Credit cost x average advances</t>
  </si>
  <si>
    <t xml:space="preserve">Equity and per share</t>
  </si>
  <si>
    <t xml:space="preserve">Prior + PAT x (1 - payout)</t>
  </si>
  <si>
    <t xml:space="preserve">Held flat (ESOP dilution ignored)</t>
  </si>
  <si>
    <t xml:space="preserve">Dividend per share (Rs)</t>
  </si>
  <si>
    <t xml:space="preserve">FY26A: Rs 12 recommended by the Board</t>
  </si>
  <si>
    <t xml:space="preserve">Ratios</t>
  </si>
  <si>
    <t xml:space="preserve">Valuation at current price (standalone book)</t>
  </si>
  <si>
    <t xml:space="preserve">P/E at CMP (x)</t>
  </si>
  <si>
    <t xml:space="preserve">P/B at CMP (x)</t>
  </si>
  <si>
    <t xml:space="preserve">Note: CMP includes the value of listed subsidiaries, so these multiples overstate the standalone bank's multiple. See Valuation.</t>
  </si>
  <si>
    <t xml:space="preserve">Valuation: justified P/B on the standalone bank + listed subsidiaries (SOTP)</t>
  </si>
  <si>
    <t xml:space="preserve">12-month target. Standalone bank valued on Sep-27E book (average of FY27E and FY28E).</t>
  </si>
  <si>
    <t xml:space="preserve">A. Standalone bank: justified P/B = (RoE - g) / (Ke - g)</t>
  </si>
  <si>
    <t xml:space="preserve">Long-term growth (g)</t>
  </si>
  <si>
    <t xml:space="preserve">Sustainable RoE (average FY27E-FY28E)</t>
  </si>
  <si>
    <t xml:space="preserve">Justified P/B (x)</t>
  </si>
  <si>
    <t xml:space="preserve">Gordon growth form; valid only when Ke &gt; g</t>
  </si>
  <si>
    <t xml:space="preserve">BVPS FY27E (Rs)</t>
  </si>
  <si>
    <t xml:space="preserve">BVPS FY28E (Rs)</t>
  </si>
  <si>
    <t xml:space="preserve">BVPS Sep-27E (Rs)</t>
  </si>
  <si>
    <t xml:space="preserve">Standalone bank value per share (Rs)</t>
  </si>
  <si>
    <t xml:space="preserve">B. Listed subsidiaries at market value, less holding-company discount</t>
  </si>
  <si>
    <t xml:space="preserve">Subsidiary</t>
  </si>
  <si>
    <t xml:space="preserve">Mkt cap (Rs cr)</t>
  </si>
  <si>
    <t xml:space="preserve">ICICI stake</t>
  </si>
  <si>
    <t xml:space="preserve">Attributable (Rs cr)</t>
  </si>
  <si>
    <t xml:space="preserve">Discount</t>
  </si>
  <si>
    <t xml:space="preserve">Post-discount (Rs cr)</t>
  </si>
  <si>
    <t xml:space="preserve">Per ICICI share (Rs)</t>
  </si>
  <si>
    <t xml:space="preserve">ICICI Prudential AMC (ICICIAMC)</t>
  </si>
  <si>
    <t xml:space="preserve">ICICI Lombard General (ICICIGI)</t>
  </si>
  <si>
    <t xml:space="preserve">ICICI Prudential Life (ICICIPRULI)</t>
  </si>
  <si>
    <t xml:space="preserve">Subsidiaries total</t>
  </si>
  <si>
    <t xml:space="preserve">Market caps: Yahoo Finance via yfinance, 1-Oct-2026. Unlisted subsidiaries (ICICI Home Finance and others) excluded: conservative.</t>
  </si>
  <si>
    <t xml:space="preserve">C. Target price and rating</t>
  </si>
  <si>
    <t xml:space="preserve">Standalone + subsidiaries (Rs)</t>
  </si>
  <si>
    <t xml:space="preserve">12-month target price (Rs, rounded to 10)</t>
  </si>
  <si>
    <t xml:space="preserve">D. What the current price implies (reverse valuation)</t>
  </si>
  <si>
    <t xml:space="preserve">Implied standalone P/B on Sep-27E book (x)</t>
  </si>
  <si>
    <t xml:space="preserve">Implied long-term growth at model RoE and Ke</t>
  </si>
  <si>
    <t xml:space="preserve">Solves P/B = (RoE - g)/(Ke - g) for g</t>
  </si>
  <si>
    <t xml:space="preserve">E. Sensitivity: target price (Rs) to sustainable RoE (rows) and Ke (columns), g held at active</t>
  </si>
  <si>
    <t xml:space="preserve">RoE \ Ke</t>
  </si>
  <si>
    <t xml:space="preserve">F. Sensitivity: target price (Rs) to long-term growth g (rows) and Ke (columns), RoE held at model</t>
  </si>
  <si>
    <t xml:space="preserve">g \ Ke</t>
  </si>
  <si>
    <t xml:space="preserve">G. Scenario results (values written by the VBA macro RunScenarios)</t>
  </si>
  <si>
    <t xml:space="preserve">Scenario</t>
  </si>
  <si>
    <t xml:space="preserve">Target price (Rs)</t>
  </si>
  <si>
    <t xml:space="preserve">Upside</t>
  </si>
  <si>
    <t xml:space="preserve">FY28E PAT (Rs cr)</t>
  </si>
  <si>
    <t xml:space="preserve">FY28E RoE</t>
  </si>
  <si>
    <t xml:space="preserve">SELL</t>
  </si>
  <si>
    <t xml:space="preserve">HOLD</t>
  </si>
  <si>
    <t xml:space="preserve">BUY</t>
  </si>
  <si>
    <t xml:space="preserve">Pre-filled by the same model logic on 3-Oct-2026; click RunScenarios after importing the macro to refresh.</t>
  </si>
  <si>
    <t xml:space="preserve">Peer comparison: large Indian banks</t>
  </si>
  <si>
    <t xml:space="preserve">Yahoo Finance via yfinance, NSE close 1-Oct-2026. P/B and RoE are trailing, consolidated, as computed by the data provider.</t>
  </si>
  <si>
    <t xml:space="preserve">Bank</t>
  </si>
  <si>
    <t xml:space="preserve">NSE ticker</t>
  </si>
  <si>
    <t xml:space="preserve">Price (Rs)</t>
  </si>
  <si>
    <t xml:space="preserve">P/B (x)</t>
  </si>
  <si>
    <t xml:space="preserve">RoE (trailing)</t>
  </si>
  <si>
    <t xml:space="preserve">Market cap (Rs cr)</t>
  </si>
  <si>
    <t xml:space="preserve">P/B per 1pt of RoE</t>
  </si>
  <si>
    <t xml:space="preserve">ICICI Bank</t>
  </si>
  <si>
    <t xml:space="preserve">ICICIBANK</t>
  </si>
  <si>
    <t xml:space="preserve">HDFC Bank</t>
  </si>
  <si>
    <t xml:space="preserve">HDFCBANK</t>
  </si>
  <si>
    <t xml:space="preserve">Kotak Mahindra Bank</t>
  </si>
  <si>
    <t xml:space="preserve">KOTAKBANK</t>
  </si>
  <si>
    <t xml:space="preserve">Axis Bank</t>
  </si>
  <si>
    <t xml:space="preserve">AXISBANK</t>
  </si>
  <si>
    <t xml:space="preserve">State Bank of India</t>
  </si>
  <si>
    <t xml:space="preserve">SBIN</t>
  </si>
  <si>
    <t xml:space="preserve">Peer median (excl. ICICI)</t>
  </si>
  <si>
    <t xml:space="preserve">ICICI premium / (discount) to peer median P/B</t>
  </si>
  <si>
    <t xml:space="preserve">ICICI RoE gap vs peer median (percentage points)</t>
  </si>
  <si>
    <t xml:space="preserve">Reading: ICICI trades at the highest P/B in the group. Its RoE lead explains part of the premium; its listed subsidiaries explain more. Provider data are consolidated, so these differ from the standalone multiples on Forecast.</t>
  </si>
  <si>
    <t xml:space="preserve">Sources</t>
  </si>
  <si>
    <t xml:space="preserve">Data</t>
  </si>
  <si>
    <t xml:space="preserve">Source</t>
  </si>
  <si>
    <t xml:space="preserve">Link</t>
  </si>
  <si>
    <t xml:space="preserve">FY2026 and FY2025 P&amp;L and balance sheet (audited)</t>
  </si>
  <si>
    <t xml:space="preserve">ICICI Bank press release, 18-Apr-2026</t>
  </si>
  <si>
    <t xml:space="preserve">https://www.icici.bank.in/about-us/news-room/2026/performance-review-quarter-ended-march-31-2026</t>
  </si>
  <si>
    <t xml:space="preserve">FY2024 and FY2023 P&amp;L and balance sheet (audited)</t>
  </si>
  <si>
    <t xml:space="preserve">ICICI Bank press release, 27-Apr-2024</t>
  </si>
  <si>
    <t xml:space="preserve">https://www.icici.bank.in/about-us/article/performance-review-quarter-ended-march-31-2024</t>
  </si>
  <si>
    <t xml:space="preserve">FY2022 P&amp;L and Mar-22 balance sheet (audited)</t>
  </si>
  <si>
    <t xml:space="preserve">ICICI Bank press release, Apr-2023</t>
  </si>
  <si>
    <t xml:space="preserve">https://www.icici.bank.in/about-us/news-room/2023/performance-review-quarter-ended-march-thirty-one-two-zero-two-three</t>
  </si>
  <si>
    <t xml:space="preserve">Q1 FY27 standalone results</t>
  </si>
  <si>
    <t xml:space="preserve">Capital Market via JM Financial, 18/20-Jul-2026</t>
  </si>
  <si>
    <t xml:space="preserve">https://www.jmfinancialservices.in/market-news-and-insights/1711332</t>
  </si>
  <si>
    <t xml:space="preserve">Q1 FY27 earnings call highlights</t>
  </si>
  <si>
    <t xml:space="preserve">MarketBeat, 18-Jul-2026</t>
  </si>
  <si>
    <t xml:space="preserve">https://www.marketbeat.com/instant-alerts/icici-bank-q1-earnings-call-highlights-2026-07-18/</t>
  </si>
  <si>
    <t xml:space="preserve">Share prices, beta inputs, peer P/B and RoE, subsidiary market caps</t>
  </si>
  <si>
    <t xml:space="preserve">Yahoo Finance via yfinance, 1-Oct-2026 close</t>
  </si>
  <si>
    <t xml:space="preserve">https://finance.yahoo.com/quote/ICICIBANK.NS</t>
  </si>
  <si>
    <t xml:space="preserve">India 10Y G-sec yield</t>
  </si>
  <si>
    <t xml:space="preserve">Trading Economics, 28-Sep-2026</t>
  </si>
  <si>
    <t xml:space="preserve">https://tradingeconomics.com/india/government-bond-yield/news/587153</t>
  </si>
  <si>
    <t xml:space="preserve">RBI repo rate 5.25%, August 2026 MPC minutes</t>
  </si>
  <si>
    <t xml:space="preserve">RBI MPC minutes, 3-5 Aug 2026</t>
  </si>
  <si>
    <t xml:space="preserve">https://hellobanker.in/minutes-of-the-rbi-monetary-policy-committee-meeting-held-from-august-3-to-5-2026/</t>
  </si>
  <si>
    <t xml:space="preserve">System credit and deposit growth</t>
  </si>
  <si>
    <t xml:space="preserve">RBI weekly statistical supplement, Jun-2026</t>
  </si>
  <si>
    <t xml:space="preserve">https://rbi.org.in/scriptS/BS_PressReleaseDisplay.aspx?prid=63031</t>
  </si>
  <si>
    <t xml:space="preserve">ICICI stake in ICICI Prudential Life (~52.8%)</t>
  </si>
  <si>
    <t xml:space="preserve">Upstox, 2-Sep-2026</t>
  </si>
  <si>
    <t xml:space="preserve">https://upstox.com/news/market-news/stocks/icici-bank-shares-in-focus-on-completing-acquisition-of-2-stake-in-icici-prudential-life-for-1-470-crore-all-you-need-to-know/article-199699/</t>
  </si>
  <si>
    <t xml:space="preserve">ICICI stake in ICICI Prudential AMC (51% pre-FY26 purchase)</t>
  </si>
  <si>
    <t xml:space="preserve">Business Standard, Dec-2025</t>
  </si>
  <si>
    <t xml:space="preserve">https://www.business-standard.com/markets/capital-market-news/icici-bank-says-icici-prudential-amc-files-rhp-for-ipo-125120600153_1.html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</si>
</sst>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#,##0.0;\(#,##0.0\);\-"/>
    <numFmt numFmtId="167" formatCode="0.0%;\(0.0%\);\-"/>
    <numFmt numFmtId="168" formatCode="0.00%;\(0.00%\);\-"/>
    <numFmt numFmtId="169" formatCode="#,##0;\(#,##0\);\-"/>
    <numFmt numFmtId="170" formatCode="#,##0.0"/>
    <numFmt numFmtId="171" formatCode="0.00"/>
    <numFmt numFmtId="172" formatCode="0.00\x"/>
    <numFmt numFmtId="173" formatCode="0.000\x"/>
    <numFmt numFmtId="174" formatCode="0.0&quot; pts&quot;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sz val="10"/>
      <name val="Arial"/>
      <family val="2"/>
    </font>
    <font>
      <sz val="10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icici.bank.in/about-us/news-room/2026/performance-review-quarter-ended-march-31-2026" TargetMode="External"/><Relationship Id="rId2" Type="http://schemas.openxmlformats.org/officeDocument/2006/relationships/hyperlink" Target="https://www.icici.bank.in/about-us/article/performance-review-quarter-ended-march-31-2024" TargetMode="External"/><Relationship Id="rId3" Type="http://schemas.openxmlformats.org/officeDocument/2006/relationships/hyperlink" Target="https://www.icici.bank.in/about-us/news-room/2023/performance-review-quarter-ended-march-thirty-one-two-zero-two-three" TargetMode="External"/><Relationship Id="rId4" Type="http://schemas.openxmlformats.org/officeDocument/2006/relationships/hyperlink" Target="https://www.jmfinancialservices.in/market-news-and-insights/1711332" TargetMode="External"/><Relationship Id="rId5" Type="http://schemas.openxmlformats.org/officeDocument/2006/relationships/hyperlink" Target="https://www.marketbeat.com/instant-alerts/icici-bank-q1-earnings-call-highlights-2026-07-18/" TargetMode="External"/><Relationship Id="rId6" Type="http://schemas.openxmlformats.org/officeDocument/2006/relationships/hyperlink" Target="https://finance.yahoo.com/quote/ICICIBANK.NS" TargetMode="External"/><Relationship Id="rId7" Type="http://schemas.openxmlformats.org/officeDocument/2006/relationships/hyperlink" Target="https://tradingeconomics.com/india/government-bond-yield/news/587153" TargetMode="External"/><Relationship Id="rId8" Type="http://schemas.openxmlformats.org/officeDocument/2006/relationships/hyperlink" Target="https://hellobanker.in/minutes-of-the-rbi-monetary-policy-committee-meeting-held-from-august-3-to-5-2026/" TargetMode="External"/><Relationship Id="rId9" Type="http://schemas.openxmlformats.org/officeDocument/2006/relationships/hyperlink" Target="https://rbi.org.in/scriptS/BS_PressReleaseDisplay.aspx?prid=63031" TargetMode="External"/><Relationship Id="rId10" Type="http://schemas.openxmlformats.org/officeDocument/2006/relationships/hyperlink" Target="https://upstox.com/news/market-news/stocks/icici-bank-shares-in-focus-on-completing-acquisition-of-2-stake-in-icici-prudential-life-for-1-470-crore-all-you-need-to-know/article-199699/" TargetMode="External"/><Relationship Id="rId11" Type="http://schemas.openxmlformats.org/officeDocument/2006/relationships/hyperlink" Target="https://www.business-standard.com/markets/capital-market-news/icici-bank-says-icici-prudential-amc-files-rhp-for-ipo-125120600153_1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</row>
    <row r="5" customFormat="false" ht="15" hidden="false" customHeight="false" outlineLevel="0" collapsed="false">
      <c r="A5" s="5" t="s">
        <v>3</v>
      </c>
      <c r="B5" s="6" t="str">
        <f aca="false">Valuation!B27</f>
        <v>HOLD</v>
      </c>
    </row>
    <row r="6" customFormat="false" ht="15" hidden="false" customHeight="false" outlineLevel="0" collapsed="false">
      <c r="A6" s="5" t="s">
        <v>4</v>
      </c>
      <c r="B6" s="7" t="n">
        <f aca="false">Valuation!B24</f>
        <v>1380</v>
      </c>
    </row>
    <row r="7" customFormat="false" ht="15" hidden="false" customHeight="false" outlineLevel="0" collapsed="false">
      <c r="A7" s="5" t="s">
        <v>5</v>
      </c>
      <c r="B7" s="8" t="n">
        <f aca="false">Valuation!B25</f>
        <v>1310.6</v>
      </c>
    </row>
    <row r="8" customFormat="false" ht="15" hidden="false" customHeight="false" outlineLevel="0" collapsed="false">
      <c r="A8" s="5" t="s">
        <v>6</v>
      </c>
      <c r="B8" s="9" t="n">
        <f aca="false">Valuation!B26</f>
        <v>0.0529528460247215</v>
      </c>
    </row>
    <row r="9" customFormat="false" ht="15" hidden="false" customHeight="false" outlineLevel="0" collapsed="false">
      <c r="A9" s="5" t="s">
        <v>7</v>
      </c>
      <c r="B9" s="6" t="str">
        <f aca="false">Valuation!B28</f>
        <v>Base</v>
      </c>
    </row>
    <row r="10" customFormat="false" ht="15" hidden="false" customHeight="false" outlineLevel="0" collapsed="false">
      <c r="A10" s="5" t="s">
        <v>8</v>
      </c>
      <c r="B10" s="10" t="n">
        <f aca="false">Inputs!B14</f>
        <v>0.1254</v>
      </c>
    </row>
    <row r="12" customFormat="false" ht="15" hidden="false" customHeight="false" outlineLevel="0" collapsed="false">
      <c r="A12" s="3" t="s">
        <v>9</v>
      </c>
      <c r="B12" s="4"/>
      <c r="C12" s="4"/>
      <c r="D12" s="4"/>
      <c r="E12" s="4"/>
    </row>
    <row r="13" customFormat="false" ht="15" hidden="false" customHeight="false" outlineLevel="0" collapsed="false">
      <c r="A13" s="11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</row>
    <row r="14" customFormat="false" ht="15" hidden="false" customHeight="false" outlineLevel="0" collapsed="false">
      <c r="A14" s="5" t="s">
        <v>15</v>
      </c>
      <c r="B14" s="13" t="n">
        <f aca="false">Historical!E6</f>
        <v>81165</v>
      </c>
      <c r="C14" s="13" t="n">
        <f aca="false">Historical!F6</f>
        <v>88075</v>
      </c>
      <c r="D14" s="13" t="n">
        <f aca="false">Forecast!C11</f>
        <v>99468.362175</v>
      </c>
      <c r="E14" s="13" t="n">
        <f aca="false">Forecast!D11</f>
        <v>113272.6965454</v>
      </c>
    </row>
    <row r="15" customFormat="false" ht="15" hidden="false" customHeight="false" outlineLevel="0" collapsed="false">
      <c r="A15" s="5" t="s">
        <v>16</v>
      </c>
      <c r="B15" s="13" t="n">
        <f aca="false">Historical!E16</f>
        <v>47227</v>
      </c>
      <c r="C15" s="13" t="n">
        <f aca="false">Historical!F16</f>
        <v>50147</v>
      </c>
      <c r="D15" s="13" t="n">
        <f aca="false">Forecast!C21</f>
        <v>55256.365856475</v>
      </c>
      <c r="E15" s="13" t="n">
        <f aca="false">Forecast!D21</f>
        <v>62550.4076103526</v>
      </c>
    </row>
    <row r="16" customFormat="false" ht="15" hidden="false" customHeight="false" outlineLevel="0" collapsed="false">
      <c r="A16" s="5" t="s">
        <v>17</v>
      </c>
      <c r="B16" s="14" t="n">
        <f aca="false">Historical!E56</f>
        <v>66.2835087719298</v>
      </c>
      <c r="C16" s="14" t="n">
        <f aca="false">Historical!F56</f>
        <v>70.0377094972067</v>
      </c>
      <c r="D16" s="14" t="n">
        <f aca="false">Forecast!C26</f>
        <v>77.1736953302723</v>
      </c>
      <c r="E16" s="14" t="n">
        <f aca="false">Forecast!D26</f>
        <v>87.3609044837327</v>
      </c>
    </row>
    <row r="17" customFormat="false" ht="15" hidden="false" customHeight="false" outlineLevel="0" collapsed="false">
      <c r="A17" s="5" t="s">
        <v>18</v>
      </c>
      <c r="B17" s="14" t="n">
        <f aca="false">Historical!E57</f>
        <v>407.027368421053</v>
      </c>
      <c r="C17" s="14" t="n">
        <f aca="false">Historical!F57</f>
        <v>467.442737430168</v>
      </c>
      <c r="D17" s="14" t="n">
        <f aca="false">Forecast!C27</f>
        <v>531.496904554294</v>
      </c>
      <c r="E17" s="14" t="n">
        <f aca="false">Forecast!D27</f>
        <v>604.006455275792</v>
      </c>
    </row>
    <row r="18" customFormat="false" ht="15" hidden="false" customHeight="false" outlineLevel="0" collapsed="false">
      <c r="A18" s="5" t="s">
        <v>19</v>
      </c>
      <c r="B18" s="15" t="n">
        <f aca="false">Historical!E53</f>
        <v>0.0236741353792401</v>
      </c>
      <c r="C18" s="15" t="n">
        <f aca="false">Historical!F53</f>
        <v>0.0223333587929556</v>
      </c>
      <c r="D18" s="15" t="n">
        <f aca="false">Forecast!C37</f>
        <v>0.0216651628847685</v>
      </c>
      <c r="E18" s="15" t="n">
        <f aca="false">Forecast!D37</f>
        <v>0.0214257794622992</v>
      </c>
    </row>
    <row r="19" customFormat="false" ht="15" hidden="false" customHeight="false" outlineLevel="0" collapsed="false">
      <c r="A19" s="5" t="s">
        <v>20</v>
      </c>
      <c r="B19" s="16" t="n">
        <f aca="false">Historical!E54</f>
        <v>0.179229261424551</v>
      </c>
      <c r="C19" s="16" t="n">
        <f aca="false">Historical!F54</f>
        <v>0.160548490785918</v>
      </c>
      <c r="D19" s="16" t="n">
        <f aca="false">Forecast!C38</f>
        <v>0.154511227879517</v>
      </c>
      <c r="E19" s="16" t="n">
        <f aca="false">Forecast!D38</f>
        <v>0.153871679422957</v>
      </c>
    </row>
    <row r="20" customFormat="false" ht="15" hidden="false" customHeight="false" outlineLevel="0" collapsed="false">
      <c r="A20" s="5" t="s">
        <v>21</v>
      </c>
      <c r="B20" s="15" t="n">
        <f aca="false">Historical!E51</f>
        <v>0.00370758602343783</v>
      </c>
      <c r="C20" s="15" t="n">
        <f aca="false">Historical!F51</f>
        <v>0.00371590715619484</v>
      </c>
      <c r="D20" s="15" t="n">
        <f aca="false">Forecast!C36</f>
        <v>0.004</v>
      </c>
      <c r="E20" s="15" t="n">
        <f aca="false">Forecast!D36</f>
        <v>0.0045</v>
      </c>
    </row>
    <row r="22" customFormat="false" ht="15" hidden="false" customHeight="false" outlineLevel="0" collapsed="false">
      <c r="A22" s="3" t="s">
        <v>22</v>
      </c>
      <c r="B22" s="4"/>
      <c r="C22" s="4"/>
      <c r="D22" s="4"/>
      <c r="E22" s="4"/>
    </row>
    <row r="23" customFormat="false" ht="15" hidden="false" customHeight="false" outlineLevel="0" collapsed="false">
      <c r="A23" s="5" t="s">
        <v>23</v>
      </c>
    </row>
    <row r="24" customFormat="false" ht="15" hidden="false" customHeight="false" outlineLevel="0" collapsed="false">
      <c r="A24" s="5" t="s">
        <v>24</v>
      </c>
    </row>
    <row r="25" customFormat="false" ht="15" hidden="false" customHeight="false" outlineLevel="0" collapsed="false">
      <c r="A25" s="5" t="s">
        <v>25</v>
      </c>
    </row>
    <row r="26" customFormat="false" ht="15" hidden="false" customHeight="false" outlineLevel="0" collapsed="false">
      <c r="A26" s="5" t="s">
        <v>26</v>
      </c>
    </row>
    <row r="27" customFormat="false" ht="15" hidden="false" customHeight="false" outlineLevel="0" collapsed="false">
      <c r="A27" s="5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6" min="3" style="0" width="12"/>
    <col collapsed="false" customWidth="true" hidden="false" outlineLevel="0" max="7" min="7" style="0" width="62"/>
  </cols>
  <sheetData>
    <row r="1" customFormat="false" ht="17.35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29</v>
      </c>
    </row>
    <row r="4" customFormat="false" ht="15" hidden="false" customHeight="false" outlineLevel="0" collapsed="false">
      <c r="A4" s="3" t="s">
        <v>30</v>
      </c>
      <c r="B4" s="4"/>
      <c r="C4" s="4"/>
      <c r="D4" s="4"/>
    </row>
    <row r="5" customFormat="false" ht="15" hidden="false" customHeight="false" outlineLevel="0" collapsed="false">
      <c r="A5" s="5" t="s">
        <v>31</v>
      </c>
      <c r="B5" s="17" t="n">
        <v>1310.6</v>
      </c>
      <c r="D5" s="18" t="s">
        <v>32</v>
      </c>
    </row>
    <row r="6" customFormat="false" ht="15" hidden="false" customHeight="false" outlineLevel="0" collapsed="false">
      <c r="A6" s="5" t="s">
        <v>33</v>
      </c>
      <c r="B6" s="19" t="n">
        <v>2</v>
      </c>
      <c r="D6" s="18" t="s">
        <v>34</v>
      </c>
    </row>
    <row r="7" customFormat="false" ht="15" hidden="false" customHeight="false" outlineLevel="0" collapsed="false">
      <c r="A7" s="5" t="s">
        <v>35</v>
      </c>
      <c r="B7" s="20" t="n">
        <f aca="false">Historical!F37</f>
        <v>716</v>
      </c>
      <c r="D7" s="18" t="s">
        <v>36</v>
      </c>
    </row>
    <row r="8" customFormat="false" ht="15" hidden="false" customHeight="false" outlineLevel="0" collapsed="false">
      <c r="A8" s="5" t="s">
        <v>37</v>
      </c>
      <c r="B8" s="21" t="n">
        <f aca="false">B5*B7</f>
        <v>938389.6</v>
      </c>
    </row>
    <row r="10" customFormat="false" ht="15" hidden="false" customHeight="false" outlineLevel="0" collapsed="false">
      <c r="A10" s="3" t="s">
        <v>38</v>
      </c>
      <c r="B10" s="4"/>
      <c r="C10" s="4"/>
      <c r="D10" s="4"/>
    </row>
    <row r="11" customFormat="false" ht="15" hidden="false" customHeight="false" outlineLevel="0" collapsed="false">
      <c r="A11" s="5" t="s">
        <v>39</v>
      </c>
      <c r="B11" s="22" t="n">
        <v>0.0715</v>
      </c>
      <c r="D11" s="18" t="s">
        <v>40</v>
      </c>
    </row>
    <row r="12" customFormat="false" ht="15" hidden="false" customHeight="false" outlineLevel="0" collapsed="false">
      <c r="A12" s="5" t="s">
        <v>41</v>
      </c>
      <c r="B12" s="23" t="n">
        <v>0.98</v>
      </c>
      <c r="D12" s="18" t="s">
        <v>42</v>
      </c>
    </row>
    <row r="13" customFormat="false" ht="15" hidden="false" customHeight="false" outlineLevel="0" collapsed="false">
      <c r="A13" s="5" t="s">
        <v>43</v>
      </c>
      <c r="B13" s="24" t="n">
        <v>0.055</v>
      </c>
      <c r="D13" s="18" t="s">
        <v>44</v>
      </c>
    </row>
    <row r="14" customFormat="false" ht="15" hidden="false" customHeight="false" outlineLevel="0" collapsed="false">
      <c r="A14" s="25" t="s">
        <v>45</v>
      </c>
      <c r="B14" s="26" t="n">
        <f aca="false">B11+B12*B13</f>
        <v>0.1254</v>
      </c>
      <c r="D14" s="18" t="s">
        <v>46</v>
      </c>
    </row>
    <row r="16" customFormat="false" ht="15" hidden="false" customHeight="false" outlineLevel="0" collapsed="false">
      <c r="A16" s="3" t="s">
        <v>47</v>
      </c>
      <c r="B16" s="4"/>
      <c r="C16" s="4"/>
      <c r="D16" s="4"/>
    </row>
    <row r="17" customFormat="false" ht="15" hidden="false" customHeight="false" outlineLevel="0" collapsed="false">
      <c r="A17" s="25" t="s">
        <v>48</v>
      </c>
      <c r="B17" s="27" t="n">
        <v>2</v>
      </c>
      <c r="D17" s="18" t="s">
        <v>49</v>
      </c>
    </row>
    <row r="18" customFormat="false" ht="15" hidden="false" customHeight="false" outlineLevel="0" collapsed="false">
      <c r="A18" s="5" t="s">
        <v>50</v>
      </c>
      <c r="B18" s="25" t="str">
        <f aca="false">CHOOSE(B17,"Bear","Base","Bull")</f>
        <v>Base</v>
      </c>
    </row>
    <row r="20" customFormat="false" ht="15" hidden="false" customHeight="false" outlineLevel="0" collapsed="false">
      <c r="A20" s="3" t="s">
        <v>51</v>
      </c>
      <c r="B20" s="4"/>
      <c r="C20" s="4"/>
      <c r="D20" s="4"/>
      <c r="E20" s="4"/>
      <c r="F20" s="4"/>
      <c r="G20" s="4"/>
    </row>
    <row r="21" customFormat="false" ht="15" hidden="false" customHeight="false" outlineLevel="0" collapsed="false">
      <c r="A21" s="11" t="s">
        <v>52</v>
      </c>
      <c r="B21" s="12" t="s">
        <v>53</v>
      </c>
      <c r="C21" s="12" t="s">
        <v>54</v>
      </c>
      <c r="D21" s="12" t="s">
        <v>55</v>
      </c>
      <c r="E21" s="12" t="s">
        <v>56</v>
      </c>
      <c r="F21" s="12" t="s">
        <v>57</v>
      </c>
      <c r="G21" s="12" t="s">
        <v>58</v>
      </c>
    </row>
    <row r="22" customFormat="false" ht="15" hidden="false" customHeight="false" outlineLevel="0" collapsed="false">
      <c r="A22" s="5" t="s">
        <v>59</v>
      </c>
      <c r="B22" s="5" t="s">
        <v>13</v>
      </c>
      <c r="C22" s="28" t="n">
        <v>0.13</v>
      </c>
      <c r="D22" s="28" t="n">
        <v>0.16</v>
      </c>
      <c r="E22" s="28" t="n">
        <v>0.18</v>
      </c>
      <c r="F22" s="29" t="n">
        <f aca="false">CHOOSE($B$17,C22,D22,E22)</f>
        <v>0.16</v>
      </c>
      <c r="G22" s="18" t="s">
        <v>60</v>
      </c>
    </row>
    <row r="23" customFormat="false" ht="15" hidden="false" customHeight="false" outlineLevel="0" collapsed="false">
      <c r="A23" s="5" t="s">
        <v>59</v>
      </c>
      <c r="B23" s="5" t="s">
        <v>14</v>
      </c>
      <c r="C23" s="28" t="n">
        <v>0.12</v>
      </c>
      <c r="D23" s="28" t="n">
        <v>0.15</v>
      </c>
      <c r="E23" s="28" t="n">
        <v>0.17</v>
      </c>
      <c r="F23" s="29" t="n">
        <f aca="false">CHOOSE($B$17,C23,D23,E23)</f>
        <v>0.15</v>
      </c>
      <c r="G23" s="18" t="s">
        <v>61</v>
      </c>
    </row>
    <row r="24" customFormat="false" ht="15" hidden="false" customHeight="false" outlineLevel="0" collapsed="false">
      <c r="A24" s="5" t="s">
        <v>62</v>
      </c>
      <c r="B24" s="5" t="s">
        <v>13</v>
      </c>
      <c r="C24" s="28" t="n">
        <v>0.11</v>
      </c>
      <c r="D24" s="28" t="n">
        <v>0.14</v>
      </c>
      <c r="E24" s="28" t="n">
        <v>0.15</v>
      </c>
      <c r="F24" s="29" t="n">
        <f aca="false">CHOOSE($B$17,C24,D24,E24)</f>
        <v>0.14</v>
      </c>
      <c r="G24" s="18" t="s">
        <v>63</v>
      </c>
    </row>
    <row r="25" customFormat="false" ht="15" hidden="false" customHeight="false" outlineLevel="0" collapsed="false">
      <c r="A25" s="5" t="s">
        <v>62</v>
      </c>
      <c r="B25" s="5" t="s">
        <v>14</v>
      </c>
      <c r="C25" s="28" t="n">
        <v>0.11</v>
      </c>
      <c r="D25" s="28" t="n">
        <v>0.14</v>
      </c>
      <c r="E25" s="28" t="n">
        <v>0.15</v>
      </c>
      <c r="F25" s="29" t="n">
        <f aca="false">CHOOSE($B$17,C25,D25,E25)</f>
        <v>0.14</v>
      </c>
      <c r="G25" s="18" t="s">
        <v>64</v>
      </c>
    </row>
    <row r="26" customFormat="false" ht="15" hidden="false" customHeight="false" outlineLevel="0" collapsed="false">
      <c r="A26" s="5" t="s">
        <v>65</v>
      </c>
      <c r="B26" s="5" t="s">
        <v>13</v>
      </c>
      <c r="C26" s="28" t="n">
        <v>0.12</v>
      </c>
      <c r="D26" s="28" t="n">
        <v>0.15</v>
      </c>
      <c r="E26" s="28" t="n">
        <v>0.16</v>
      </c>
      <c r="F26" s="29" t="n">
        <f aca="false">CHOOSE($B$17,C26,D26,E26)</f>
        <v>0.15</v>
      </c>
      <c r="G26" s="18" t="s">
        <v>66</v>
      </c>
    </row>
    <row r="27" customFormat="false" ht="15" hidden="false" customHeight="false" outlineLevel="0" collapsed="false">
      <c r="A27" s="5" t="s">
        <v>65</v>
      </c>
      <c r="B27" s="5" t="s">
        <v>14</v>
      </c>
      <c r="C27" s="28" t="n">
        <v>0.11</v>
      </c>
      <c r="D27" s="28" t="n">
        <v>0.14</v>
      </c>
      <c r="E27" s="28" t="n">
        <v>0.15</v>
      </c>
      <c r="F27" s="29" t="n">
        <f aca="false">CHOOSE($B$17,C27,D27,E27)</f>
        <v>0.14</v>
      </c>
      <c r="G27" s="18"/>
    </row>
    <row r="28" customFormat="false" ht="15" hidden="false" customHeight="false" outlineLevel="0" collapsed="false">
      <c r="A28" s="5" t="s">
        <v>67</v>
      </c>
      <c r="B28" s="5" t="s">
        <v>13</v>
      </c>
      <c r="C28" s="22" t="n">
        <v>0.038</v>
      </c>
      <c r="D28" s="22" t="n">
        <v>0.039</v>
      </c>
      <c r="E28" s="22" t="n">
        <v>0.0398</v>
      </c>
      <c r="F28" s="26" t="n">
        <f aca="false">CHOOSE($B$17,C28,D28,E28)</f>
        <v>0.039</v>
      </c>
      <c r="G28" s="18" t="s">
        <v>68</v>
      </c>
    </row>
    <row r="29" customFormat="false" ht="15" hidden="false" customHeight="false" outlineLevel="0" collapsed="false">
      <c r="A29" s="5" t="s">
        <v>67</v>
      </c>
      <c r="B29" s="5" t="s">
        <v>14</v>
      </c>
      <c r="C29" s="22" t="n">
        <v>0.0375</v>
      </c>
      <c r="D29" s="22" t="n">
        <v>0.0388</v>
      </c>
      <c r="E29" s="22" t="n">
        <v>0.0398</v>
      </c>
      <c r="F29" s="26" t="n">
        <f aca="false">CHOOSE($B$17,C29,D29,E29)</f>
        <v>0.0388</v>
      </c>
      <c r="G29" s="18" t="s">
        <v>69</v>
      </c>
    </row>
    <row r="30" customFormat="false" ht="15" hidden="false" customHeight="false" outlineLevel="0" collapsed="false">
      <c r="A30" s="5" t="s">
        <v>70</v>
      </c>
      <c r="B30" s="5" t="s">
        <v>13</v>
      </c>
      <c r="C30" s="28" t="n">
        <v>0.1</v>
      </c>
      <c r="D30" s="28" t="n">
        <v>0.14</v>
      </c>
      <c r="E30" s="28" t="n">
        <v>0.17</v>
      </c>
      <c r="F30" s="29" t="n">
        <f aca="false">CHOOSE($B$17,C30,D30,E30)</f>
        <v>0.14</v>
      </c>
      <c r="G30" s="18" t="s">
        <v>71</v>
      </c>
    </row>
    <row r="31" customFormat="false" ht="15" hidden="false" customHeight="false" outlineLevel="0" collapsed="false">
      <c r="A31" s="5" t="s">
        <v>70</v>
      </c>
      <c r="B31" s="5" t="s">
        <v>14</v>
      </c>
      <c r="C31" s="28" t="n">
        <v>0.1</v>
      </c>
      <c r="D31" s="28" t="n">
        <v>0.13</v>
      </c>
      <c r="E31" s="28" t="n">
        <v>0.15</v>
      </c>
      <c r="F31" s="29" t="n">
        <f aca="false">CHOOSE($B$17,C31,D31,E31)</f>
        <v>0.13</v>
      </c>
      <c r="G31" s="18"/>
    </row>
    <row r="32" customFormat="false" ht="15" hidden="false" customHeight="false" outlineLevel="0" collapsed="false">
      <c r="A32" s="5" t="s">
        <v>72</v>
      </c>
      <c r="B32" s="5" t="s">
        <v>13</v>
      </c>
      <c r="C32" s="28" t="n">
        <v>0.41</v>
      </c>
      <c r="D32" s="28" t="n">
        <v>0.4</v>
      </c>
      <c r="E32" s="28" t="n">
        <v>0.39</v>
      </c>
      <c r="F32" s="29" t="n">
        <f aca="false">CHOOSE($B$17,C32,D32,E32)</f>
        <v>0.4</v>
      </c>
      <c r="G32" s="18" t="s">
        <v>73</v>
      </c>
    </row>
    <row r="33" customFormat="false" ht="15" hidden="false" customHeight="false" outlineLevel="0" collapsed="false">
      <c r="A33" s="5" t="s">
        <v>72</v>
      </c>
      <c r="B33" s="5" t="s">
        <v>14</v>
      </c>
      <c r="C33" s="28" t="n">
        <v>0.41</v>
      </c>
      <c r="D33" s="28" t="n">
        <v>0.395</v>
      </c>
      <c r="E33" s="28" t="n">
        <v>0.385</v>
      </c>
      <c r="F33" s="29" t="n">
        <f aca="false">CHOOSE($B$17,C33,D33,E33)</f>
        <v>0.395</v>
      </c>
      <c r="G33" s="18" t="s">
        <v>74</v>
      </c>
    </row>
    <row r="34" customFormat="false" ht="15" hidden="false" customHeight="false" outlineLevel="0" collapsed="false">
      <c r="A34" s="5" t="s">
        <v>75</v>
      </c>
      <c r="B34" s="5" t="s">
        <v>13</v>
      </c>
      <c r="C34" s="22" t="n">
        <v>0.0065</v>
      </c>
      <c r="D34" s="22" t="n">
        <v>0.004</v>
      </c>
      <c r="E34" s="22" t="n">
        <v>0.003</v>
      </c>
      <c r="F34" s="26" t="n">
        <f aca="false">CHOOSE($B$17,C34,D34,E34)</f>
        <v>0.004</v>
      </c>
      <c r="G34" s="18" t="s">
        <v>76</v>
      </c>
    </row>
    <row r="35" customFormat="false" ht="15" hidden="false" customHeight="false" outlineLevel="0" collapsed="false">
      <c r="A35" s="5" t="s">
        <v>75</v>
      </c>
      <c r="B35" s="5" t="s">
        <v>14</v>
      </c>
      <c r="C35" s="22" t="n">
        <v>0.007</v>
      </c>
      <c r="D35" s="22" t="n">
        <v>0.0045</v>
      </c>
      <c r="E35" s="22" t="n">
        <v>0.0035</v>
      </c>
      <c r="F35" s="26" t="n">
        <f aca="false">CHOOSE($B$17,C35,D35,E35)</f>
        <v>0.0045</v>
      </c>
      <c r="G35" s="18" t="s">
        <v>77</v>
      </c>
    </row>
    <row r="36" customFormat="false" ht="15" hidden="false" customHeight="false" outlineLevel="0" collapsed="false">
      <c r="A36" s="5" t="s">
        <v>78</v>
      </c>
      <c r="B36" s="5" t="s">
        <v>79</v>
      </c>
      <c r="C36" s="28" t="n">
        <v>0.095</v>
      </c>
      <c r="D36" s="28" t="n">
        <v>0.1</v>
      </c>
      <c r="E36" s="28" t="n">
        <v>0.1025</v>
      </c>
      <c r="F36" s="29" t="n">
        <f aca="false">CHOOSE($B$17,C36,D36,E36)</f>
        <v>0.1</v>
      </c>
      <c r="G36" s="18" t="s">
        <v>80</v>
      </c>
    </row>
    <row r="37" customFormat="false" ht="15" hidden="false" customHeight="false" outlineLevel="0" collapsed="false">
      <c r="A37" s="5" t="s">
        <v>81</v>
      </c>
      <c r="B37" s="5" t="s">
        <v>82</v>
      </c>
      <c r="C37" s="28" t="n">
        <v>0.25</v>
      </c>
      <c r="D37" s="28" t="n">
        <v>0.2</v>
      </c>
      <c r="E37" s="28" t="n">
        <v>0.15</v>
      </c>
      <c r="F37" s="29" t="n">
        <f aca="false">CHOOSE($B$17,C37,D37,E37)</f>
        <v>0.2</v>
      </c>
      <c r="G37" s="18" t="s">
        <v>83</v>
      </c>
    </row>
    <row r="39" customFormat="false" ht="15" hidden="false" customHeight="false" outlineLevel="0" collapsed="false">
      <c r="A39" s="3" t="s">
        <v>84</v>
      </c>
      <c r="B39" s="4"/>
      <c r="C39" s="4"/>
      <c r="D39" s="4"/>
    </row>
    <row r="40" customFormat="false" ht="15" hidden="false" customHeight="false" outlineLevel="0" collapsed="false">
      <c r="A40" s="5" t="s">
        <v>85</v>
      </c>
      <c r="B40" s="28" t="n">
        <v>0.245</v>
      </c>
      <c r="D40" s="18" t="s">
        <v>86</v>
      </c>
    </row>
    <row r="41" customFormat="false" ht="15" hidden="false" customHeight="false" outlineLevel="0" collapsed="false">
      <c r="A41" s="5" t="s">
        <v>87</v>
      </c>
      <c r="B41" s="28" t="n">
        <v>0.17</v>
      </c>
      <c r="D41" s="18" t="s">
        <v>88</v>
      </c>
    </row>
    <row r="42" customFormat="false" ht="15" hidden="false" customHeight="false" outlineLevel="0" collapsed="false">
      <c r="A42" s="5" t="s">
        <v>89</v>
      </c>
      <c r="B42" s="30" t="n">
        <v>0</v>
      </c>
      <c r="D42" s="18" t="s">
        <v>90</v>
      </c>
    </row>
    <row r="44" customFormat="false" ht="15" hidden="false" customHeight="false" outlineLevel="0" collapsed="false">
      <c r="A44" s="3" t="s">
        <v>91</v>
      </c>
      <c r="B44" s="4"/>
      <c r="C44" s="4"/>
      <c r="D44" s="4"/>
    </row>
    <row r="45" customFormat="false" ht="15" hidden="false" customHeight="false" outlineLevel="0" collapsed="false">
      <c r="A45" s="5" t="s">
        <v>92</v>
      </c>
      <c r="B45" s="28" t="n">
        <v>0.15</v>
      </c>
    </row>
    <row r="46" customFormat="false" ht="15" hidden="false" customHeight="false" outlineLevel="0" collapsed="false">
      <c r="A46" s="5" t="s">
        <v>93</v>
      </c>
      <c r="B46" s="28" t="n">
        <v>0</v>
      </c>
    </row>
    <row r="47" customFormat="false" ht="15" hidden="false" customHeight="false" outlineLevel="0" collapsed="false">
      <c r="A47" s="18" t="s">
        <v>94</v>
      </c>
    </row>
  </sheetData>
  <dataValidations count="1">
    <dataValidation allowBlank="false" errorStyle="stop" operator="between" showDropDown="false" showErrorMessage="false" showInputMessage="false" sqref="B17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6" min="2" style="0" width="13"/>
  </cols>
  <sheetData>
    <row r="1" customFormat="false" ht="17.35" hidden="false" customHeight="false" outlineLevel="0" collapsed="false">
      <c r="A1" s="1" t="s">
        <v>95</v>
      </c>
    </row>
    <row r="2" customFormat="false" ht="15" hidden="false" customHeight="false" outlineLevel="0" collapsed="false">
      <c r="A2" s="2" t="s">
        <v>96</v>
      </c>
    </row>
    <row r="4" customFormat="false" ht="15" hidden="false" customHeight="false" outlineLevel="0" collapsed="false">
      <c r="A4" s="11" t="s">
        <v>10</v>
      </c>
      <c r="B4" s="12" t="s">
        <v>97</v>
      </c>
      <c r="C4" s="12" t="s">
        <v>98</v>
      </c>
      <c r="D4" s="12" t="s">
        <v>99</v>
      </c>
      <c r="E4" s="12" t="s">
        <v>100</v>
      </c>
      <c r="F4" s="12" t="s">
        <v>101</v>
      </c>
    </row>
    <row r="5" customFormat="false" ht="15" hidden="false" customHeight="false" outlineLevel="0" collapsed="false">
      <c r="A5" s="3" t="s">
        <v>102</v>
      </c>
      <c r="B5" s="4"/>
      <c r="C5" s="4"/>
      <c r="D5" s="4"/>
      <c r="E5" s="4"/>
      <c r="F5" s="4"/>
    </row>
    <row r="6" customFormat="false" ht="15" hidden="false" customHeight="false" outlineLevel="0" collapsed="false">
      <c r="A6" s="5" t="s">
        <v>15</v>
      </c>
      <c r="B6" s="30" t="n">
        <v>47466</v>
      </c>
      <c r="C6" s="30" t="n">
        <v>62129</v>
      </c>
      <c r="D6" s="30" t="n">
        <v>74306</v>
      </c>
      <c r="E6" s="30" t="n">
        <v>81165</v>
      </c>
      <c r="F6" s="30" t="n">
        <v>88075</v>
      </c>
    </row>
    <row r="7" customFormat="false" ht="15" hidden="false" customHeight="false" outlineLevel="0" collapsed="false">
      <c r="A7" s="5" t="s">
        <v>103</v>
      </c>
      <c r="B7" s="30" t="n">
        <v>17614</v>
      </c>
      <c r="C7" s="30" t="n">
        <v>19883</v>
      </c>
      <c r="D7" s="30" t="n">
        <v>22949</v>
      </c>
      <c r="E7" s="30" t="n">
        <v>26603</v>
      </c>
      <c r="F7" s="30" t="n">
        <v>29560</v>
      </c>
    </row>
    <row r="8" customFormat="false" ht="15" hidden="false" customHeight="false" outlineLevel="0" collapsed="false">
      <c r="A8" s="5" t="s">
        <v>104</v>
      </c>
      <c r="B8" s="30" t="n">
        <v>15687</v>
      </c>
      <c r="C8" s="30" t="n">
        <v>18001</v>
      </c>
      <c r="D8" s="30" t="n">
        <v>20796</v>
      </c>
      <c r="E8" s="30" t="n">
        <v>23870</v>
      </c>
      <c r="F8" s="30" t="n">
        <v>25742</v>
      </c>
    </row>
    <row r="9" customFormat="false" ht="15" hidden="false" customHeight="false" outlineLevel="0" collapsed="false">
      <c r="A9" s="5" t="s">
        <v>105</v>
      </c>
      <c r="B9" s="30" t="n">
        <v>26733</v>
      </c>
      <c r="C9" s="30" t="n">
        <v>32873</v>
      </c>
      <c r="D9" s="30" t="n">
        <v>39133</v>
      </c>
      <c r="E9" s="30" t="n">
        <v>42372</v>
      </c>
      <c r="F9" s="30" t="n">
        <v>47234</v>
      </c>
    </row>
    <row r="10" customFormat="false" ht="15" hidden="false" customHeight="false" outlineLevel="0" collapsed="false">
      <c r="A10" s="25" t="s">
        <v>106</v>
      </c>
      <c r="B10" s="31" t="n">
        <f aca="false">B6+B7-B9</f>
        <v>38347</v>
      </c>
      <c r="C10" s="31" t="n">
        <f aca="false">C6+C7-C9</f>
        <v>49139</v>
      </c>
      <c r="D10" s="31" t="n">
        <f aca="false">D6+D7-D9</f>
        <v>58122</v>
      </c>
      <c r="E10" s="31" t="n">
        <f aca="false">E6+E7-E9</f>
        <v>65396</v>
      </c>
      <c r="F10" s="31" t="n">
        <f aca="false">F6+F7-F9</f>
        <v>70401</v>
      </c>
    </row>
    <row r="11" customFormat="false" ht="15" hidden="false" customHeight="false" outlineLevel="0" collapsed="false">
      <c r="A11" s="5" t="s">
        <v>107</v>
      </c>
      <c r="B11" s="30" t="n">
        <v>8641</v>
      </c>
      <c r="C11" s="30" t="n">
        <v>6666</v>
      </c>
      <c r="D11" s="30" t="n">
        <v>3643</v>
      </c>
      <c r="E11" s="30" t="n">
        <v>4683</v>
      </c>
      <c r="F11" s="30" t="n">
        <v>5380</v>
      </c>
    </row>
    <row r="12" customFormat="false" ht="15" hidden="false" customHeight="false" outlineLevel="0" collapsed="false">
      <c r="A12" s="5" t="s">
        <v>108</v>
      </c>
      <c r="B12" s="21" t="n">
        <f aca="false">B10-B11</f>
        <v>29706</v>
      </c>
      <c r="C12" s="21" t="n">
        <f aca="false">C10-C11</f>
        <v>42473</v>
      </c>
      <c r="D12" s="21" t="n">
        <f aca="false">D10-D11</f>
        <v>54479</v>
      </c>
      <c r="E12" s="21" t="n">
        <f aca="false">E10-E11</f>
        <v>60713</v>
      </c>
      <c r="F12" s="21" t="n">
        <f aca="false">F10-F11</f>
        <v>65021</v>
      </c>
    </row>
    <row r="13" customFormat="false" ht="15" hidden="false" customHeight="false" outlineLevel="0" collapsed="false">
      <c r="A13" s="5" t="s">
        <v>109</v>
      </c>
      <c r="B13" s="30" t="n">
        <v>903</v>
      </c>
      <c r="C13" s="30" t="n">
        <v>-52</v>
      </c>
      <c r="D13" s="30" t="n">
        <v>9</v>
      </c>
      <c r="E13" s="30" t="n">
        <v>1903</v>
      </c>
      <c r="F13" s="30" t="n">
        <v>1198</v>
      </c>
    </row>
    <row r="14" customFormat="false" ht="15" hidden="false" customHeight="false" outlineLevel="0" collapsed="false">
      <c r="A14" s="5" t="s">
        <v>110</v>
      </c>
      <c r="B14" s="21" t="n">
        <f aca="false">B12+B13</f>
        <v>30609</v>
      </c>
      <c r="C14" s="21" t="n">
        <f aca="false">C12+C13</f>
        <v>42421</v>
      </c>
      <c r="D14" s="21" t="n">
        <f aca="false">D12+D13</f>
        <v>54488</v>
      </c>
      <c r="E14" s="21" t="n">
        <f aca="false">E12+E13</f>
        <v>62616</v>
      </c>
      <c r="F14" s="21" t="n">
        <f aca="false">F12+F13</f>
        <v>66219</v>
      </c>
    </row>
    <row r="15" customFormat="false" ht="15" hidden="false" customHeight="false" outlineLevel="0" collapsed="false">
      <c r="A15" s="5" t="s">
        <v>111</v>
      </c>
      <c r="B15" s="30" t="n">
        <v>7270</v>
      </c>
      <c r="C15" s="30" t="n">
        <v>10525</v>
      </c>
      <c r="D15" s="30" t="n">
        <v>13600</v>
      </c>
      <c r="E15" s="30" t="n">
        <v>15389</v>
      </c>
      <c r="F15" s="30" t="n">
        <v>16072</v>
      </c>
    </row>
    <row r="16" customFormat="false" ht="15" hidden="false" customHeight="false" outlineLevel="0" collapsed="false">
      <c r="A16" s="25" t="s">
        <v>16</v>
      </c>
      <c r="B16" s="32" t="n">
        <f aca="false">B14-B15</f>
        <v>23339</v>
      </c>
      <c r="C16" s="32" t="n">
        <f aca="false">C14-C15</f>
        <v>31896</v>
      </c>
      <c r="D16" s="32" t="n">
        <f aca="false">D14-D15</f>
        <v>40888</v>
      </c>
      <c r="E16" s="32" t="n">
        <f aca="false">E14-E15</f>
        <v>47227</v>
      </c>
      <c r="F16" s="32" t="n">
        <f aca="false">F14-F15</f>
        <v>50147</v>
      </c>
    </row>
    <row r="17" customFormat="false" ht="15" hidden="false" customHeight="false" outlineLevel="0" collapsed="false">
      <c r="A17" s="18" t="s">
        <v>112</v>
      </c>
      <c r="B17" s="33" t="n">
        <v>23339</v>
      </c>
      <c r="C17" s="33" t="n">
        <v>31896</v>
      </c>
      <c r="D17" s="33" t="n">
        <v>40888</v>
      </c>
      <c r="E17" s="33" t="n">
        <v>47227</v>
      </c>
      <c r="F17" s="33" t="n">
        <v>50147</v>
      </c>
    </row>
    <row r="18" customFormat="false" ht="15" hidden="false" customHeight="false" outlineLevel="0" collapsed="false">
      <c r="A18" s="18" t="s">
        <v>113</v>
      </c>
      <c r="B18" s="34" t="n">
        <f aca="false">B16-B17</f>
        <v>0</v>
      </c>
      <c r="C18" s="34" t="n">
        <f aca="false">C16-C17</f>
        <v>0</v>
      </c>
      <c r="D18" s="34" t="n">
        <f aca="false">D16-D17</f>
        <v>0</v>
      </c>
      <c r="E18" s="34" t="n">
        <f aca="false">E16-E17</f>
        <v>0</v>
      </c>
      <c r="F18" s="34" t="n">
        <f aca="false">F16-F17</f>
        <v>0</v>
      </c>
    </row>
    <row r="20" customFormat="false" ht="15" hidden="false" customHeight="false" outlineLevel="0" collapsed="false">
      <c r="A20" s="3" t="s">
        <v>114</v>
      </c>
      <c r="B20" s="4"/>
      <c r="C20" s="4"/>
      <c r="D20" s="4"/>
      <c r="E20" s="4"/>
      <c r="F20" s="4"/>
    </row>
    <row r="21" customFormat="false" ht="15" hidden="false" customHeight="false" outlineLevel="0" collapsed="false">
      <c r="A21" s="5" t="s">
        <v>115</v>
      </c>
      <c r="B21" s="30" t="n">
        <v>1390</v>
      </c>
      <c r="C21" s="30" t="n">
        <v>1397</v>
      </c>
      <c r="D21" s="30" t="n">
        <v>1405</v>
      </c>
      <c r="E21" s="30" t="n">
        <v>1425</v>
      </c>
      <c r="F21" s="30" t="n">
        <v>1432</v>
      </c>
    </row>
    <row r="22" customFormat="false" ht="15" hidden="false" customHeight="false" outlineLevel="0" collapsed="false">
      <c r="A22" s="5" t="s">
        <v>116</v>
      </c>
      <c r="B22" s="30" t="n">
        <v>266</v>
      </c>
      <c r="C22" s="30" t="n">
        <v>761</v>
      </c>
      <c r="D22" s="30" t="n">
        <v>1405</v>
      </c>
      <c r="E22" s="30" t="n">
        <v>2070</v>
      </c>
      <c r="F22" s="30" t="n">
        <v>2682</v>
      </c>
    </row>
    <row r="23" customFormat="false" ht="15" hidden="false" customHeight="false" outlineLevel="0" collapsed="false">
      <c r="A23" s="5" t="s">
        <v>117</v>
      </c>
      <c r="B23" s="30" t="n">
        <v>168856</v>
      </c>
      <c r="C23" s="30" t="n">
        <v>198558</v>
      </c>
      <c r="D23" s="30" t="n">
        <v>235589</v>
      </c>
      <c r="E23" s="30" t="n">
        <v>288582</v>
      </c>
      <c r="F23" s="30" t="n">
        <v>333257</v>
      </c>
    </row>
    <row r="24" customFormat="false" ht="15" hidden="false" customHeight="false" outlineLevel="0" collapsed="false">
      <c r="A24" s="5" t="s">
        <v>118</v>
      </c>
      <c r="B24" s="30" t="n">
        <v>1064572</v>
      </c>
      <c r="C24" s="30" t="n">
        <v>1180841</v>
      </c>
      <c r="D24" s="30" t="n">
        <v>1412825</v>
      </c>
      <c r="E24" s="30" t="n">
        <v>1610348</v>
      </c>
      <c r="F24" s="30" t="n">
        <v>1794625</v>
      </c>
    </row>
    <row r="25" customFormat="false" ht="15" hidden="false" customHeight="false" outlineLevel="0" collapsed="false">
      <c r="A25" s="5" t="s">
        <v>119</v>
      </c>
      <c r="B25" s="30" t="n">
        <v>107231</v>
      </c>
      <c r="C25" s="30" t="n">
        <v>119325</v>
      </c>
      <c r="D25" s="30" t="n">
        <v>124968</v>
      </c>
      <c r="E25" s="30" t="n">
        <v>123538</v>
      </c>
      <c r="F25" s="30" t="n">
        <v>124994</v>
      </c>
    </row>
    <row r="26" customFormat="false" ht="15" hidden="false" customHeight="false" outlineLevel="0" collapsed="false">
      <c r="A26" s="5" t="s">
        <v>120</v>
      </c>
      <c r="B26" s="30" t="n">
        <v>68983</v>
      </c>
      <c r="C26" s="30" t="n">
        <v>83325</v>
      </c>
      <c r="D26" s="30" t="n">
        <v>95323</v>
      </c>
      <c r="E26" s="30" t="n">
        <v>92277</v>
      </c>
      <c r="F26" s="30" t="n">
        <v>115541</v>
      </c>
    </row>
    <row r="27" customFormat="false" ht="15" hidden="false" customHeight="false" outlineLevel="0" collapsed="false">
      <c r="A27" s="25" t="s">
        <v>121</v>
      </c>
      <c r="B27" s="31" t="n">
        <f aca="false">SUM(B21:B26)</f>
        <v>1411298</v>
      </c>
      <c r="C27" s="31" t="n">
        <f aca="false">SUM(C21:C26)</f>
        <v>1584207</v>
      </c>
      <c r="D27" s="31" t="n">
        <f aca="false">SUM(D21:D26)</f>
        <v>1871515</v>
      </c>
      <c r="E27" s="31" t="n">
        <f aca="false">SUM(E21:E26)</f>
        <v>2118240</v>
      </c>
      <c r="F27" s="31" t="n">
        <f aca="false">SUM(F21:F26)</f>
        <v>2372531</v>
      </c>
    </row>
    <row r="28" customFormat="false" ht="15" hidden="false" customHeight="false" outlineLevel="0" collapsed="false">
      <c r="A28" s="5" t="s">
        <v>122</v>
      </c>
      <c r="B28" s="30" t="n">
        <v>109523</v>
      </c>
      <c r="C28" s="30" t="n">
        <v>68526</v>
      </c>
      <c r="D28" s="30" t="n">
        <v>89712</v>
      </c>
      <c r="E28" s="30" t="n">
        <v>119928</v>
      </c>
      <c r="F28" s="30" t="n">
        <v>121024</v>
      </c>
    </row>
    <row r="29" customFormat="false" ht="15" hidden="false" customHeight="false" outlineLevel="0" collapsed="false">
      <c r="A29" s="5" t="s">
        <v>123</v>
      </c>
      <c r="B29" s="30" t="n">
        <v>58300</v>
      </c>
      <c r="C29" s="30" t="n">
        <v>50912</v>
      </c>
      <c r="D29" s="30" t="n">
        <v>50214</v>
      </c>
      <c r="E29" s="30" t="n">
        <v>65634</v>
      </c>
      <c r="F29" s="30" t="n">
        <v>109311</v>
      </c>
    </row>
    <row r="30" customFormat="false" ht="15" hidden="false" customHeight="false" outlineLevel="0" collapsed="false">
      <c r="A30" s="5" t="s">
        <v>124</v>
      </c>
      <c r="B30" s="30" t="n">
        <v>310241</v>
      </c>
      <c r="C30" s="30" t="n">
        <v>362330</v>
      </c>
      <c r="D30" s="30" t="n">
        <v>461942</v>
      </c>
      <c r="E30" s="30" t="n">
        <v>504757</v>
      </c>
      <c r="F30" s="30" t="n">
        <v>492217</v>
      </c>
    </row>
    <row r="31" customFormat="false" ht="15" hidden="false" customHeight="false" outlineLevel="0" collapsed="false">
      <c r="A31" s="5" t="s">
        <v>125</v>
      </c>
      <c r="B31" s="30" t="n">
        <v>859020</v>
      </c>
      <c r="C31" s="30" t="n">
        <v>1019638</v>
      </c>
      <c r="D31" s="30" t="n">
        <v>1184406</v>
      </c>
      <c r="E31" s="30" t="n">
        <v>1341766</v>
      </c>
      <c r="F31" s="30" t="n">
        <v>1553893</v>
      </c>
    </row>
    <row r="32" customFormat="false" ht="15" hidden="false" customHeight="false" outlineLevel="0" collapsed="false">
      <c r="A32" s="5" t="s">
        <v>126</v>
      </c>
      <c r="B32" s="30" t="n">
        <v>9374</v>
      </c>
      <c r="C32" s="30" t="n">
        <v>9600</v>
      </c>
      <c r="D32" s="30" t="n">
        <v>10860</v>
      </c>
      <c r="E32" s="30" t="n">
        <v>12839</v>
      </c>
      <c r="F32" s="30" t="n">
        <v>13922</v>
      </c>
    </row>
    <row r="33" customFormat="false" ht="15" hidden="false" customHeight="false" outlineLevel="0" collapsed="false">
      <c r="A33" s="5" t="s">
        <v>127</v>
      </c>
      <c r="B33" s="30" t="n">
        <v>64840</v>
      </c>
      <c r="C33" s="30" t="n">
        <v>73201</v>
      </c>
      <c r="D33" s="30" t="n">
        <v>74381</v>
      </c>
      <c r="E33" s="30" t="n">
        <v>73316</v>
      </c>
      <c r="F33" s="30" t="n">
        <v>82164</v>
      </c>
    </row>
    <row r="34" customFormat="false" ht="15" hidden="false" customHeight="false" outlineLevel="0" collapsed="false">
      <c r="A34" s="25" t="s">
        <v>128</v>
      </c>
      <c r="B34" s="31" t="n">
        <f aca="false">SUM(B28:B33)</f>
        <v>1411298</v>
      </c>
      <c r="C34" s="31" t="n">
        <f aca="false">SUM(C28:C33)</f>
        <v>1584207</v>
      </c>
      <c r="D34" s="31" t="n">
        <f aca="false">SUM(D28:D33)</f>
        <v>1871515</v>
      </c>
      <c r="E34" s="31" t="n">
        <f aca="false">SUM(E28:E33)</f>
        <v>2118240</v>
      </c>
      <c r="F34" s="31" t="n">
        <f aca="false">SUM(F28:F33)</f>
        <v>2372531</v>
      </c>
    </row>
    <row r="35" customFormat="false" ht="15" hidden="false" customHeight="false" outlineLevel="0" collapsed="false">
      <c r="A35" s="18" t="s">
        <v>129</v>
      </c>
      <c r="B35" s="34" t="n">
        <f aca="false">B27-B34</f>
        <v>0</v>
      </c>
      <c r="C35" s="34" t="n">
        <f aca="false">C27-C34</f>
        <v>0</v>
      </c>
      <c r="D35" s="34" t="n">
        <f aca="false">D27-D34</f>
        <v>0</v>
      </c>
      <c r="E35" s="34" t="n">
        <f aca="false">E27-E34</f>
        <v>0</v>
      </c>
      <c r="F35" s="34" t="n">
        <f aca="false">F27-F34</f>
        <v>0</v>
      </c>
    </row>
    <row r="36" customFormat="false" ht="15" hidden="false" customHeight="false" outlineLevel="0" collapsed="false">
      <c r="A36" s="25" t="s">
        <v>130</v>
      </c>
      <c r="B36" s="31" t="n">
        <f aca="false">B21+B23</f>
        <v>170246</v>
      </c>
      <c r="C36" s="31" t="n">
        <f aca="false">C21+C23</f>
        <v>199955</v>
      </c>
      <c r="D36" s="31" t="n">
        <f aca="false">D21+D23</f>
        <v>236994</v>
      </c>
      <c r="E36" s="31" t="n">
        <f aca="false">E21+E23</f>
        <v>290007</v>
      </c>
      <c r="F36" s="31" t="n">
        <f aca="false">F21+F23</f>
        <v>334689</v>
      </c>
    </row>
    <row r="37" customFormat="false" ht="15" hidden="false" customHeight="false" outlineLevel="0" collapsed="false">
      <c r="A37" s="5" t="s">
        <v>35</v>
      </c>
      <c r="B37" s="35" t="n">
        <f aca="false">B21/Inputs!$B$6</f>
        <v>695</v>
      </c>
      <c r="C37" s="35" t="n">
        <f aca="false">C21/Inputs!$B$6</f>
        <v>698.5</v>
      </c>
      <c r="D37" s="35" t="n">
        <f aca="false">D21/Inputs!$B$6</f>
        <v>702.5</v>
      </c>
      <c r="E37" s="35" t="n">
        <f aca="false">E21/Inputs!$B$6</f>
        <v>712.5</v>
      </c>
      <c r="F37" s="35" t="n">
        <f aca="false">F21/Inputs!$B$6</f>
        <v>716</v>
      </c>
    </row>
    <row r="39" customFormat="false" ht="15" hidden="false" customHeight="false" outlineLevel="0" collapsed="false">
      <c r="A39" s="3" t="s">
        <v>131</v>
      </c>
      <c r="B39" s="4"/>
      <c r="C39" s="4"/>
      <c r="D39" s="4"/>
      <c r="E39" s="4"/>
      <c r="F39" s="4"/>
    </row>
    <row r="40" customFormat="false" ht="15" hidden="false" customHeight="false" outlineLevel="0" collapsed="false">
      <c r="A40" s="5" t="s">
        <v>132</v>
      </c>
      <c r="B40" s="22" t="n">
        <v>0.036</v>
      </c>
      <c r="C40" s="22" t="n">
        <v>0.0281</v>
      </c>
      <c r="D40" s="22" t="n">
        <v>0.0216</v>
      </c>
      <c r="E40" s="22" t="n">
        <v>0.0167</v>
      </c>
      <c r="F40" s="22" t="n">
        <v>0.014</v>
      </c>
    </row>
    <row r="41" customFormat="false" ht="15" hidden="false" customHeight="false" outlineLevel="0" collapsed="false">
      <c r="A41" s="5" t="s">
        <v>133</v>
      </c>
      <c r="B41" s="22" t="n">
        <v>0.0076</v>
      </c>
      <c r="C41" s="22" t="n">
        <v>0.0048</v>
      </c>
      <c r="D41" s="22" t="n">
        <v>0.0042</v>
      </c>
      <c r="E41" s="22" t="n">
        <v>0.0039</v>
      </c>
      <c r="F41" s="22" t="n">
        <v>0.0033</v>
      </c>
    </row>
    <row r="42" customFormat="false" ht="15" hidden="false" customHeight="false" outlineLevel="0" collapsed="false">
      <c r="A42" s="5" t="s">
        <v>134</v>
      </c>
      <c r="C42" s="22" t="n">
        <v>0.0448</v>
      </c>
      <c r="D42" s="22" t="n">
        <v>0.0453</v>
      </c>
      <c r="E42" s="22" t="n">
        <v>0.0432</v>
      </c>
      <c r="F42" s="22" t="n">
        <v>0.0432</v>
      </c>
    </row>
    <row r="44" customFormat="false" ht="15" hidden="false" customHeight="false" outlineLevel="0" collapsed="false">
      <c r="A44" s="3" t="s">
        <v>135</v>
      </c>
      <c r="B44" s="4"/>
      <c r="C44" s="4"/>
      <c r="D44" s="4"/>
      <c r="E44" s="4"/>
      <c r="F44" s="4"/>
    </row>
    <row r="45" customFormat="false" ht="15" hidden="false" customHeight="false" outlineLevel="0" collapsed="false">
      <c r="A45" s="5" t="s">
        <v>59</v>
      </c>
      <c r="C45" s="36" t="n">
        <f aca="false">C31/B31-1</f>
        <v>0.186978184442737</v>
      </c>
      <c r="D45" s="36" t="n">
        <f aca="false">D31/C31-1</f>
        <v>0.161594605144179</v>
      </c>
      <c r="E45" s="36" t="n">
        <f aca="false">E31/D31-1</f>
        <v>0.132859847045692</v>
      </c>
      <c r="F45" s="36" t="n">
        <f aca="false">F31/E31-1</f>
        <v>0.15809537579578</v>
      </c>
    </row>
    <row r="46" customFormat="false" ht="15" hidden="false" customHeight="false" outlineLevel="0" collapsed="false">
      <c r="A46" s="5" t="s">
        <v>62</v>
      </c>
      <c r="C46" s="36" t="n">
        <f aca="false">C24/B24-1</f>
        <v>0.109216661719452</v>
      </c>
      <c r="D46" s="36" t="n">
        <f aca="false">D24/C24-1</f>
        <v>0.196456593224659</v>
      </c>
      <c r="E46" s="36" t="n">
        <f aca="false">E24/D24-1</f>
        <v>0.139807124024561</v>
      </c>
      <c r="F46" s="36" t="n">
        <f aca="false">F24/E24-1</f>
        <v>0.114433029382469</v>
      </c>
    </row>
    <row r="47" customFormat="false" ht="15" hidden="false" customHeight="false" outlineLevel="0" collapsed="false">
      <c r="A47" s="5" t="s">
        <v>136</v>
      </c>
      <c r="C47" s="36" t="n">
        <f aca="false">C6/B6-1</f>
        <v>0.308915855559769</v>
      </c>
      <c r="D47" s="36" t="n">
        <f aca="false">D6/C6-1</f>
        <v>0.195995428865747</v>
      </c>
      <c r="E47" s="36" t="n">
        <f aca="false">E6/D6-1</f>
        <v>0.0923074852636396</v>
      </c>
      <c r="F47" s="36" t="n">
        <f aca="false">F6/E6-1</f>
        <v>0.0851352183823078</v>
      </c>
    </row>
    <row r="48" customFormat="false" ht="15" hidden="false" customHeight="false" outlineLevel="0" collapsed="false">
      <c r="A48" s="5" t="s">
        <v>137</v>
      </c>
      <c r="C48" s="36" t="n">
        <f aca="false">C16/B16-1</f>
        <v>0.36663953039976</v>
      </c>
      <c r="D48" s="36" t="n">
        <f aca="false">D16/C16-1</f>
        <v>0.281916227740155</v>
      </c>
      <c r="E48" s="36" t="n">
        <f aca="false">E16/D16-1</f>
        <v>0.155033261592643</v>
      </c>
      <c r="F48" s="36" t="n">
        <f aca="false">F16/E16-1</f>
        <v>0.0618290384737543</v>
      </c>
    </row>
    <row r="49" customFormat="false" ht="15" hidden="false" customHeight="false" outlineLevel="0" collapsed="false">
      <c r="A49" s="5" t="s">
        <v>67</v>
      </c>
      <c r="C49" s="37" t="n">
        <f aca="false">C6/AVERAGE(B34,C34)</f>
        <v>0.0414814864271634</v>
      </c>
      <c r="D49" s="37" t="n">
        <f aca="false">D6/AVERAGE(C34,D34)</f>
        <v>0.0430046166908102</v>
      </c>
      <c r="E49" s="37" t="n">
        <f aca="false">E6/AVERAGE(D34,E34)</f>
        <v>0.0406867088329985</v>
      </c>
      <c r="F49" s="37" t="n">
        <f aca="false">F6/AVERAGE(E34,F34)</f>
        <v>0.0392248903362029</v>
      </c>
    </row>
    <row r="50" customFormat="false" ht="15" hidden="false" customHeight="false" outlineLevel="0" collapsed="false">
      <c r="A50" s="5" t="s">
        <v>138</v>
      </c>
      <c r="B50" s="36" t="n">
        <f aca="false">B9/(B6+B7)</f>
        <v>0.410771358328211</v>
      </c>
      <c r="C50" s="36" t="n">
        <f aca="false">C9/(C6+C7)</f>
        <v>0.400831585621616</v>
      </c>
      <c r="D50" s="36" t="n">
        <f aca="false">D9/(D6+D7)</f>
        <v>0.402375199218549</v>
      </c>
      <c r="E50" s="36" t="n">
        <f aca="false">E9/(E6+E7)</f>
        <v>0.393177937792295</v>
      </c>
      <c r="F50" s="36" t="n">
        <f aca="false">F9/(F6+F7)</f>
        <v>0.401530156841076</v>
      </c>
    </row>
    <row r="51" customFormat="false" ht="15" hidden="false" customHeight="false" outlineLevel="0" collapsed="false">
      <c r="A51" s="5" t="s">
        <v>75</v>
      </c>
      <c r="C51" s="37" t="n">
        <f aca="false">C11/AVERAGE(B31,C31)</f>
        <v>0.00709655509411505</v>
      </c>
      <c r="D51" s="37" t="n">
        <f aca="false">D11/AVERAGE(C31,D31)</f>
        <v>0.00330574162766261</v>
      </c>
      <c r="E51" s="37" t="n">
        <f aca="false">E11/AVERAGE(D31,E31)</f>
        <v>0.00370758602343783</v>
      </c>
      <c r="F51" s="37" t="n">
        <f aca="false">F11/AVERAGE(E31,F31)</f>
        <v>0.00371590715619484</v>
      </c>
    </row>
    <row r="52" customFormat="false" ht="15" hidden="false" customHeight="false" outlineLevel="0" collapsed="false">
      <c r="A52" s="5" t="s">
        <v>85</v>
      </c>
      <c r="B52" s="36" t="n">
        <f aca="false">B15/B14</f>
        <v>0.237511842922016</v>
      </c>
      <c r="C52" s="36" t="n">
        <f aca="false">C15/C14</f>
        <v>0.248108248273261</v>
      </c>
      <c r="D52" s="36" t="n">
        <f aca="false">D15/D14</f>
        <v>0.249596241374248</v>
      </c>
      <c r="E52" s="36" t="n">
        <f aca="false">E15/E14</f>
        <v>0.245767854861377</v>
      </c>
      <c r="F52" s="36" t="n">
        <f aca="false">F15/F14</f>
        <v>0.242709796282034</v>
      </c>
    </row>
    <row r="53" customFormat="false" ht="15" hidden="false" customHeight="false" outlineLevel="0" collapsed="false">
      <c r="A53" s="5" t="s">
        <v>139</v>
      </c>
      <c r="C53" s="37" t="n">
        <f aca="false">C16/AVERAGE(B34,C34)</f>
        <v>0.0212959083693734</v>
      </c>
      <c r="D53" s="37" t="n">
        <f aca="false">D16/AVERAGE(C34,D34)</f>
        <v>0.0236639405600335</v>
      </c>
      <c r="E53" s="37" t="n">
        <f aca="false">E16/AVERAGE(D34,E34)</f>
        <v>0.0236741353792401</v>
      </c>
      <c r="F53" s="37" t="n">
        <f aca="false">F16/AVERAGE(E34,F34)</f>
        <v>0.0223333587929556</v>
      </c>
    </row>
    <row r="54" customFormat="false" ht="15" hidden="false" customHeight="false" outlineLevel="0" collapsed="false">
      <c r="A54" s="5" t="s">
        <v>140</v>
      </c>
      <c r="C54" s="36" t="n">
        <f aca="false">C16/AVERAGE(B36,C36)</f>
        <v>0.17231720065586</v>
      </c>
      <c r="D54" s="36" t="n">
        <f aca="false">D16/AVERAGE(C36,D36)</f>
        <v>0.187152276352618</v>
      </c>
      <c r="E54" s="36" t="n">
        <f aca="false">E16/AVERAGE(D36,E36)</f>
        <v>0.179229261424551</v>
      </c>
      <c r="F54" s="36" t="n">
        <f aca="false">F16/AVERAGE(E36,F36)</f>
        <v>0.160548490785918</v>
      </c>
    </row>
    <row r="55" customFormat="false" ht="15" hidden="false" customHeight="false" outlineLevel="0" collapsed="false">
      <c r="A55" s="5" t="s">
        <v>141</v>
      </c>
      <c r="B55" s="36" t="n">
        <f aca="false">B31/B24</f>
        <v>0.806915830963054</v>
      </c>
      <c r="C55" s="36" t="n">
        <f aca="false">C31/C24</f>
        <v>0.863484584292043</v>
      </c>
      <c r="D55" s="36" t="n">
        <f aca="false">D31/D24</f>
        <v>0.838324633270221</v>
      </c>
      <c r="E55" s="36" t="n">
        <f aca="false">E31/E24</f>
        <v>0.833214932424544</v>
      </c>
      <c r="F55" s="36" t="n">
        <f aca="false">F31/F24</f>
        <v>0.865859441387477</v>
      </c>
    </row>
    <row r="56" customFormat="false" ht="15" hidden="false" customHeight="false" outlineLevel="0" collapsed="false">
      <c r="A56" s="5" t="s">
        <v>142</v>
      </c>
      <c r="B56" s="38" t="n">
        <f aca="false">B16/B37</f>
        <v>33.5812949640288</v>
      </c>
      <c r="C56" s="38" t="n">
        <f aca="false">C16/C37</f>
        <v>45.663564781675</v>
      </c>
      <c r="D56" s="38" t="n">
        <f aca="false">D16/D37</f>
        <v>58.2035587188612</v>
      </c>
      <c r="E56" s="38" t="n">
        <f aca="false">E16/E37</f>
        <v>66.2835087719298</v>
      </c>
      <c r="F56" s="38" t="n">
        <f aca="false">F16/F37</f>
        <v>70.0377094972067</v>
      </c>
    </row>
    <row r="57" customFormat="false" ht="15" hidden="false" customHeight="false" outlineLevel="0" collapsed="false">
      <c r="A57" s="5" t="s">
        <v>18</v>
      </c>
      <c r="B57" s="38" t="n">
        <f aca="false">B36/B37</f>
        <v>244.958273381295</v>
      </c>
      <c r="C57" s="38" t="n">
        <f aca="false">C36/C37</f>
        <v>286.263421617752</v>
      </c>
      <c r="D57" s="38" t="n">
        <f aca="false">D36/D37</f>
        <v>337.358007117438</v>
      </c>
      <c r="E57" s="38" t="n">
        <f aca="false">E36/E37</f>
        <v>407.027368421053</v>
      </c>
      <c r="F57" s="38" t="n">
        <f aca="false">F36/F37</f>
        <v>467.442737430168</v>
      </c>
    </row>
    <row r="59" customFormat="false" ht="15" hidden="false" customHeight="false" outlineLevel="0" collapsed="false">
      <c r="A59" s="3" t="s">
        <v>143</v>
      </c>
      <c r="B59" s="4"/>
      <c r="C59" s="4"/>
      <c r="D59" s="4"/>
      <c r="E59" s="4"/>
      <c r="F59" s="4"/>
    </row>
    <row r="60" customFormat="false" ht="15" hidden="false" customHeight="false" outlineLevel="0" collapsed="false">
      <c r="A60" s="11" t="s">
        <v>144</v>
      </c>
      <c r="B60" s="12" t="s">
        <v>145</v>
      </c>
      <c r="C60" s="12" t="s">
        <v>146</v>
      </c>
    </row>
    <row r="61" customFormat="false" ht="15" hidden="false" customHeight="false" outlineLevel="0" collapsed="false">
      <c r="A61" s="5" t="s">
        <v>147</v>
      </c>
      <c r="B61" s="30" t="n">
        <v>24384</v>
      </c>
      <c r="C61" s="19" t="s">
        <v>148</v>
      </c>
    </row>
    <row r="62" customFormat="false" ht="15" hidden="false" customHeight="false" outlineLevel="0" collapsed="false">
      <c r="A62" s="5" t="s">
        <v>149</v>
      </c>
      <c r="B62" s="22" t="n">
        <v>0.0436</v>
      </c>
      <c r="C62" s="19" t="s">
        <v>150</v>
      </c>
    </row>
    <row r="63" customFormat="false" ht="15" hidden="false" customHeight="false" outlineLevel="0" collapsed="false">
      <c r="A63" s="5" t="s">
        <v>151</v>
      </c>
      <c r="B63" s="30" t="n">
        <v>7286</v>
      </c>
      <c r="C63" s="19" t="s">
        <v>152</v>
      </c>
    </row>
    <row r="64" customFormat="false" ht="15" hidden="false" customHeight="false" outlineLevel="0" collapsed="false">
      <c r="A64" s="5" t="s">
        <v>153</v>
      </c>
      <c r="B64" s="30" t="n">
        <v>1260</v>
      </c>
      <c r="C64" s="19" t="s">
        <v>154</v>
      </c>
    </row>
    <row r="65" customFormat="false" ht="15" hidden="false" customHeight="false" outlineLevel="0" collapsed="false">
      <c r="A65" s="5" t="s">
        <v>155</v>
      </c>
      <c r="B65" s="30" t="n">
        <v>14805</v>
      </c>
      <c r="C65" s="19" t="s">
        <v>156</v>
      </c>
    </row>
    <row r="66" customFormat="false" ht="15" hidden="false" customHeight="false" outlineLevel="0" collapsed="false">
      <c r="A66" s="5" t="s">
        <v>157</v>
      </c>
      <c r="B66" s="30" t="n">
        <v>1631260</v>
      </c>
      <c r="C66" s="19" t="s">
        <v>158</v>
      </c>
    </row>
    <row r="67" customFormat="false" ht="15" hidden="false" customHeight="false" outlineLevel="0" collapsed="false">
      <c r="A67" s="5" t="s">
        <v>159</v>
      </c>
      <c r="B67" s="30" t="n">
        <v>1833586</v>
      </c>
      <c r="C67" s="19" t="s">
        <v>160</v>
      </c>
    </row>
    <row r="68" customFormat="false" ht="15" hidden="false" customHeight="false" outlineLevel="0" collapsed="false">
      <c r="A68" s="5" t="s">
        <v>133</v>
      </c>
      <c r="B68" s="22" t="n">
        <v>0.0035</v>
      </c>
      <c r="C68" s="19" t="s">
        <v>161</v>
      </c>
    </row>
    <row r="69" customFormat="false" ht="15" hidden="false" customHeight="false" outlineLevel="0" collapsed="false">
      <c r="A69" s="5" t="s">
        <v>162</v>
      </c>
      <c r="B69" s="22" t="n">
        <v>0.1619</v>
      </c>
      <c r="C69" s="19" t="s">
        <v>163</v>
      </c>
    </row>
    <row r="70" customFormat="false" ht="15" hidden="false" customHeight="false" outlineLevel="0" collapsed="false">
      <c r="A70" s="18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3"/>
    <col collapsed="false" customWidth="true" hidden="false" outlineLevel="0" max="5" min="5" style="0" width="44"/>
  </cols>
  <sheetData>
    <row r="1" customFormat="false" ht="17.35" hidden="false" customHeight="false" outlineLevel="0" collapsed="false">
      <c r="A1" s="1" t="s">
        <v>165</v>
      </c>
    </row>
    <row r="2" customFormat="false" ht="15" hidden="false" customHeight="false" outlineLevel="0" collapsed="false">
      <c r="A2" s="2" t="s">
        <v>166</v>
      </c>
    </row>
    <row r="4" customFormat="false" ht="15" hidden="false" customHeight="false" outlineLevel="0" collapsed="false">
      <c r="A4" s="11" t="s">
        <v>10</v>
      </c>
      <c r="B4" s="12" t="s">
        <v>12</v>
      </c>
      <c r="C4" s="12" t="s">
        <v>13</v>
      </c>
      <c r="D4" s="12" t="s">
        <v>14</v>
      </c>
      <c r="E4" s="12" t="s">
        <v>52</v>
      </c>
    </row>
    <row r="5" customFormat="false" ht="15" hidden="false" customHeight="false" outlineLevel="0" collapsed="false">
      <c r="A5" s="3" t="s">
        <v>167</v>
      </c>
      <c r="B5" s="4"/>
      <c r="C5" s="4"/>
      <c r="D5" s="4"/>
      <c r="E5" s="4"/>
    </row>
    <row r="6" customFormat="false" ht="15" hidden="false" customHeight="false" outlineLevel="0" collapsed="false">
      <c r="A6" s="5" t="s">
        <v>125</v>
      </c>
      <c r="B6" s="13" t="n">
        <f aca="false">Historical!F31</f>
        <v>1553893</v>
      </c>
      <c r="C6" s="21" t="n">
        <f aca="false">B6*(1+Inputs!$F$22)</f>
        <v>1802515.88</v>
      </c>
      <c r="D6" s="21" t="n">
        <f aca="false">C6*(1+Inputs!$F$23)</f>
        <v>2072893.262</v>
      </c>
      <c r="E6" s="18" t="s">
        <v>168</v>
      </c>
    </row>
    <row r="7" customFormat="false" ht="15" hidden="false" customHeight="false" outlineLevel="0" collapsed="false">
      <c r="A7" s="5" t="s">
        <v>118</v>
      </c>
      <c r="B7" s="13" t="n">
        <f aca="false">Historical!F24</f>
        <v>1794625</v>
      </c>
      <c r="C7" s="21" t="n">
        <f aca="false">B7*(1+Inputs!$F$24)</f>
        <v>2045872.5</v>
      </c>
      <c r="D7" s="21" t="n">
        <f aca="false">C7*(1+Inputs!$F$25)</f>
        <v>2332294.65</v>
      </c>
      <c r="E7" s="18" t="s">
        <v>169</v>
      </c>
    </row>
    <row r="8" customFormat="false" ht="15" hidden="false" customHeight="false" outlineLevel="0" collapsed="false">
      <c r="A8" s="5" t="s">
        <v>128</v>
      </c>
      <c r="B8" s="13" t="n">
        <f aca="false">Historical!F34</f>
        <v>2372531</v>
      </c>
      <c r="C8" s="21" t="n">
        <f aca="false">B8*(1+Inputs!$F$26)</f>
        <v>2728410.65</v>
      </c>
      <c r="D8" s="21" t="n">
        <f aca="false">C8*(1+Inputs!$F$27)</f>
        <v>3110388.141</v>
      </c>
      <c r="E8" s="18" t="s">
        <v>170</v>
      </c>
    </row>
    <row r="10" customFormat="false" ht="15" hidden="false" customHeight="false" outlineLevel="0" collapsed="false">
      <c r="A10" s="3" t="s">
        <v>102</v>
      </c>
      <c r="B10" s="4"/>
      <c r="C10" s="4"/>
      <c r="D10" s="4"/>
      <c r="E10" s="4"/>
    </row>
    <row r="11" customFormat="false" ht="15" hidden="false" customHeight="false" outlineLevel="0" collapsed="false">
      <c r="A11" s="5" t="s">
        <v>15</v>
      </c>
      <c r="B11" s="13" t="n">
        <f aca="false">Historical!F6</f>
        <v>88075</v>
      </c>
      <c r="C11" s="21" t="n">
        <f aca="false">Inputs!$F$28*AVERAGE(B8,C8)</f>
        <v>99468.362175</v>
      </c>
      <c r="D11" s="21" t="n">
        <f aca="false">Inputs!$F$29*AVERAGE(C8,D8)</f>
        <v>113272.6965454</v>
      </c>
      <c r="E11" s="18" t="s">
        <v>171</v>
      </c>
    </row>
    <row r="12" customFormat="false" ht="15" hidden="false" customHeight="false" outlineLevel="0" collapsed="false">
      <c r="A12" s="5" t="s">
        <v>103</v>
      </c>
      <c r="B12" s="13" t="n">
        <f aca="false">Historical!F7</f>
        <v>29560</v>
      </c>
      <c r="C12" s="21" t="n">
        <f aca="false">B12*(1+Inputs!$F$30)</f>
        <v>33698.4</v>
      </c>
      <c r="D12" s="21" t="n">
        <f aca="false">C12*(1+Inputs!$F$31)</f>
        <v>38079.192</v>
      </c>
      <c r="E12" s="18" t="s">
        <v>172</v>
      </c>
    </row>
    <row r="13" customFormat="false" ht="15" hidden="false" customHeight="false" outlineLevel="0" collapsed="false">
      <c r="A13" s="25" t="s">
        <v>173</v>
      </c>
      <c r="B13" s="31" t="n">
        <f aca="false">B11+B12</f>
        <v>117635</v>
      </c>
      <c r="C13" s="31" t="n">
        <f aca="false">C11+C12</f>
        <v>133166.762175</v>
      </c>
      <c r="D13" s="31" t="n">
        <f aca="false">D11+D12</f>
        <v>151351.8885454</v>
      </c>
    </row>
    <row r="14" customFormat="false" ht="15" hidden="false" customHeight="false" outlineLevel="0" collapsed="false">
      <c r="A14" s="5" t="s">
        <v>105</v>
      </c>
      <c r="B14" s="13" t="n">
        <f aca="false">Historical!F9</f>
        <v>47234</v>
      </c>
      <c r="C14" s="21" t="n">
        <f aca="false">Inputs!$F$32*C13</f>
        <v>53266.70487</v>
      </c>
      <c r="D14" s="21" t="n">
        <f aca="false">Inputs!$F$33*D13</f>
        <v>59783.995975433</v>
      </c>
      <c r="E14" s="18" t="s">
        <v>174</v>
      </c>
    </row>
    <row r="15" customFormat="false" ht="15" hidden="false" customHeight="false" outlineLevel="0" collapsed="false">
      <c r="A15" s="25" t="s">
        <v>106</v>
      </c>
      <c r="B15" s="31" t="n">
        <f aca="false">B13-B14</f>
        <v>70401</v>
      </c>
      <c r="C15" s="31" t="n">
        <f aca="false">C13-C14</f>
        <v>79900.057305</v>
      </c>
      <c r="D15" s="31" t="n">
        <f aca="false">D13-D14</f>
        <v>91567.892569967</v>
      </c>
    </row>
    <row r="16" customFormat="false" ht="15" hidden="false" customHeight="false" outlineLevel="0" collapsed="false">
      <c r="A16" s="5" t="s">
        <v>107</v>
      </c>
      <c r="B16" s="13" t="n">
        <f aca="false">Historical!F11</f>
        <v>5380</v>
      </c>
      <c r="C16" s="21" t="n">
        <f aca="false">Inputs!$F$34*AVERAGE(B6,C6)</f>
        <v>6712.81776</v>
      </c>
      <c r="D16" s="21" t="n">
        <f aca="false">Inputs!$F$35*AVERAGE(C6,D6)</f>
        <v>8719.6705695</v>
      </c>
      <c r="E16" s="18" t="s">
        <v>175</v>
      </c>
    </row>
    <row r="17" customFormat="false" ht="15" hidden="false" customHeight="false" outlineLevel="0" collapsed="false">
      <c r="A17" s="5" t="s">
        <v>108</v>
      </c>
      <c r="B17" s="21" t="n">
        <f aca="false">B15-B16</f>
        <v>65021</v>
      </c>
      <c r="C17" s="21" t="n">
        <f aca="false">C15-C16</f>
        <v>73187.239545</v>
      </c>
      <c r="D17" s="21" t="n">
        <f aca="false">D15-D16</f>
        <v>82848.222000467</v>
      </c>
    </row>
    <row r="18" customFormat="false" ht="15" hidden="false" customHeight="false" outlineLevel="0" collapsed="false">
      <c r="A18" s="5" t="s">
        <v>109</v>
      </c>
      <c r="B18" s="13" t="n">
        <f aca="false">Historical!F13</f>
        <v>1198</v>
      </c>
      <c r="C18" s="13" t="n">
        <f aca="false">Inputs!$B$42</f>
        <v>0</v>
      </c>
      <c r="D18" s="13" t="n">
        <f aca="false">Inputs!$B$42</f>
        <v>0</v>
      </c>
    </row>
    <row r="19" customFormat="false" ht="15" hidden="false" customHeight="false" outlineLevel="0" collapsed="false">
      <c r="A19" s="5" t="s">
        <v>110</v>
      </c>
      <c r="B19" s="21" t="n">
        <f aca="false">B17+B18</f>
        <v>66219</v>
      </c>
      <c r="C19" s="21" t="n">
        <f aca="false">C17+C18</f>
        <v>73187.239545</v>
      </c>
      <c r="D19" s="21" t="n">
        <f aca="false">D17+D18</f>
        <v>82848.222000467</v>
      </c>
    </row>
    <row r="20" customFormat="false" ht="15" hidden="false" customHeight="false" outlineLevel="0" collapsed="false">
      <c r="A20" s="5" t="s">
        <v>111</v>
      </c>
      <c r="B20" s="13" t="n">
        <f aca="false">Historical!F15</f>
        <v>16072</v>
      </c>
      <c r="C20" s="21" t="n">
        <f aca="false">C19*Inputs!$B$40</f>
        <v>17930.873688525</v>
      </c>
      <c r="D20" s="21" t="n">
        <f aca="false">D19*Inputs!$B$40</f>
        <v>20297.8143901144</v>
      </c>
    </row>
    <row r="21" customFormat="false" ht="15" hidden="false" customHeight="false" outlineLevel="0" collapsed="false">
      <c r="A21" s="25" t="s">
        <v>16</v>
      </c>
      <c r="B21" s="32" t="n">
        <f aca="false">B19-B20</f>
        <v>50147</v>
      </c>
      <c r="C21" s="32" t="n">
        <f aca="false">C19-C20</f>
        <v>55256.365856475</v>
      </c>
      <c r="D21" s="32" t="n">
        <f aca="false">D19-D20</f>
        <v>62550.4076103526</v>
      </c>
    </row>
    <row r="23" customFormat="false" ht="15" hidden="false" customHeight="false" outlineLevel="0" collapsed="false">
      <c r="A23" s="3" t="s">
        <v>176</v>
      </c>
      <c r="B23" s="4"/>
      <c r="C23" s="4"/>
      <c r="D23" s="4"/>
      <c r="E23" s="4"/>
    </row>
    <row r="24" customFormat="false" ht="15" hidden="false" customHeight="false" outlineLevel="0" collapsed="false">
      <c r="A24" s="5" t="s">
        <v>130</v>
      </c>
      <c r="B24" s="13" t="n">
        <f aca="false">Historical!F36</f>
        <v>334689</v>
      </c>
      <c r="C24" s="21" t="n">
        <f aca="false">B24+C21*(1-Inputs!$B$41)</f>
        <v>380551.783660874</v>
      </c>
      <c r="D24" s="21" t="n">
        <f aca="false">C24+D21*(1-Inputs!$B$41)</f>
        <v>432468.621977467</v>
      </c>
      <c r="E24" s="18" t="s">
        <v>177</v>
      </c>
    </row>
    <row r="25" customFormat="false" ht="15" hidden="false" customHeight="false" outlineLevel="0" collapsed="false">
      <c r="A25" s="5" t="s">
        <v>35</v>
      </c>
      <c r="B25" s="20" t="n">
        <f aca="false">Historical!F37</f>
        <v>716</v>
      </c>
      <c r="C25" s="35" t="n">
        <f aca="false">B25</f>
        <v>716</v>
      </c>
      <c r="D25" s="35" t="n">
        <f aca="false">C25</f>
        <v>716</v>
      </c>
      <c r="E25" s="18" t="s">
        <v>178</v>
      </c>
    </row>
    <row r="26" customFormat="false" ht="15" hidden="false" customHeight="false" outlineLevel="0" collapsed="false">
      <c r="A26" s="25" t="s">
        <v>17</v>
      </c>
      <c r="B26" s="39" t="n">
        <f aca="false">B21/B25</f>
        <v>70.0377094972067</v>
      </c>
      <c r="C26" s="39" t="n">
        <f aca="false">C21/C25</f>
        <v>77.1736953302723</v>
      </c>
      <c r="D26" s="39" t="n">
        <f aca="false">D21/D25</f>
        <v>87.3609044837327</v>
      </c>
    </row>
    <row r="27" customFormat="false" ht="15" hidden="false" customHeight="false" outlineLevel="0" collapsed="false">
      <c r="A27" s="25" t="s">
        <v>18</v>
      </c>
      <c r="B27" s="39" t="n">
        <f aca="false">B24/B25</f>
        <v>467.442737430168</v>
      </c>
      <c r="C27" s="39" t="n">
        <f aca="false">C24/C25</f>
        <v>531.496904554294</v>
      </c>
      <c r="D27" s="39" t="n">
        <f aca="false">D24/D25</f>
        <v>604.006455275792</v>
      </c>
    </row>
    <row r="28" customFormat="false" ht="15" hidden="false" customHeight="false" outlineLevel="0" collapsed="false">
      <c r="A28" s="5" t="s">
        <v>179</v>
      </c>
      <c r="B28" s="17" t="n">
        <v>12</v>
      </c>
      <c r="C28" s="38" t="n">
        <f aca="false">C26*Inputs!$B$41</f>
        <v>13.1195282061463</v>
      </c>
      <c r="D28" s="38" t="n">
        <f aca="false">D26*Inputs!$B$41</f>
        <v>14.8513537622346</v>
      </c>
      <c r="E28" s="18" t="s">
        <v>180</v>
      </c>
    </row>
    <row r="30" customFormat="false" ht="15" hidden="false" customHeight="false" outlineLevel="0" collapsed="false">
      <c r="A30" s="3" t="s">
        <v>181</v>
      </c>
      <c r="B30" s="4"/>
      <c r="C30" s="4"/>
      <c r="D30" s="4"/>
      <c r="E30" s="4"/>
    </row>
    <row r="31" customFormat="false" ht="15" hidden="false" customHeight="false" outlineLevel="0" collapsed="false">
      <c r="A31" s="5" t="s">
        <v>59</v>
      </c>
      <c r="B31" s="16" t="n">
        <f aca="false">Historical!F45</f>
        <v>0.15809537579578</v>
      </c>
      <c r="C31" s="36" t="n">
        <f aca="false">C6/B6-1</f>
        <v>0.16</v>
      </c>
      <c r="D31" s="36" t="n">
        <f aca="false">D6/C6-1</f>
        <v>0.15</v>
      </c>
    </row>
    <row r="32" customFormat="false" ht="15" hidden="false" customHeight="false" outlineLevel="0" collapsed="false">
      <c r="A32" s="5" t="s">
        <v>136</v>
      </c>
      <c r="B32" s="16" t="n">
        <f aca="false">Historical!F47</f>
        <v>0.0851352183823078</v>
      </c>
      <c r="C32" s="36" t="n">
        <f aca="false">C11/B11-1</f>
        <v>0.129359774907749</v>
      </c>
      <c r="D32" s="36" t="n">
        <f aca="false">D11/C11-1</f>
        <v>0.138781156827668</v>
      </c>
    </row>
    <row r="33" customFormat="false" ht="15" hidden="false" customHeight="false" outlineLevel="0" collapsed="false">
      <c r="A33" s="5" t="s">
        <v>137</v>
      </c>
      <c r="B33" s="16" t="n">
        <f aca="false">Historical!F48</f>
        <v>0.0618290384737543</v>
      </c>
      <c r="C33" s="36" t="n">
        <f aca="false">C21/B21-1</f>
        <v>0.101887767094243</v>
      </c>
      <c r="D33" s="36" t="n">
        <f aca="false">D21/C21-1</f>
        <v>0.132003645929655</v>
      </c>
    </row>
    <row r="34" customFormat="false" ht="15" hidden="false" customHeight="false" outlineLevel="0" collapsed="false">
      <c r="A34" s="5" t="s">
        <v>67</v>
      </c>
      <c r="B34" s="15" t="n">
        <f aca="false">Historical!F49</f>
        <v>0.0392248903362029</v>
      </c>
      <c r="C34" s="37" t="n">
        <f aca="false">C11/AVERAGE(B8,C8)</f>
        <v>0.039</v>
      </c>
      <c r="D34" s="37" t="n">
        <f aca="false">D11/AVERAGE(C8,D8)</f>
        <v>0.0388</v>
      </c>
    </row>
    <row r="35" customFormat="false" ht="15" hidden="false" customHeight="false" outlineLevel="0" collapsed="false">
      <c r="A35" s="5" t="s">
        <v>72</v>
      </c>
      <c r="B35" s="16" t="n">
        <f aca="false">Historical!F50</f>
        <v>0.401530156841076</v>
      </c>
      <c r="C35" s="36" t="n">
        <f aca="false">C14/C13</f>
        <v>0.4</v>
      </c>
      <c r="D35" s="36" t="n">
        <f aca="false">D14/D13</f>
        <v>0.395</v>
      </c>
    </row>
    <row r="36" customFormat="false" ht="15" hidden="false" customHeight="false" outlineLevel="0" collapsed="false">
      <c r="A36" s="5" t="s">
        <v>21</v>
      </c>
      <c r="B36" s="15" t="n">
        <f aca="false">Historical!F51</f>
        <v>0.00371590715619484</v>
      </c>
      <c r="C36" s="37" t="n">
        <f aca="false">C16/AVERAGE(B6,C6)</f>
        <v>0.004</v>
      </c>
      <c r="D36" s="37" t="n">
        <f aca="false">D16/AVERAGE(C6,D6)</f>
        <v>0.0045</v>
      </c>
    </row>
    <row r="37" customFormat="false" ht="15" hidden="false" customHeight="false" outlineLevel="0" collapsed="false">
      <c r="A37" s="5" t="s">
        <v>19</v>
      </c>
      <c r="B37" s="15" t="n">
        <f aca="false">Historical!F53</f>
        <v>0.0223333587929556</v>
      </c>
      <c r="C37" s="37" t="n">
        <f aca="false">C21/AVERAGE(B8,C8)</f>
        <v>0.0216651628847685</v>
      </c>
      <c r="D37" s="37" t="n">
        <f aca="false">D21/AVERAGE(C8,D8)</f>
        <v>0.0214257794622992</v>
      </c>
    </row>
    <row r="38" customFormat="false" ht="15" hidden="false" customHeight="false" outlineLevel="0" collapsed="false">
      <c r="A38" s="5" t="s">
        <v>20</v>
      </c>
      <c r="B38" s="16" t="n">
        <f aca="false">Historical!F54</f>
        <v>0.160548490785918</v>
      </c>
      <c r="C38" s="36" t="n">
        <f aca="false">C21/AVERAGE(B24,C24)</f>
        <v>0.154511227879517</v>
      </c>
      <c r="D38" s="36" t="n">
        <f aca="false">D21/AVERAGE(C24,D24)</f>
        <v>0.153871679422957</v>
      </c>
    </row>
    <row r="39" customFormat="false" ht="15" hidden="false" customHeight="false" outlineLevel="0" collapsed="false">
      <c r="A39" s="5" t="s">
        <v>141</v>
      </c>
      <c r="B39" s="16" t="n">
        <f aca="false">Historical!F55</f>
        <v>0.865859441387477</v>
      </c>
      <c r="C39" s="36" t="n">
        <f aca="false">C6/C7</f>
        <v>0.881049957903046</v>
      </c>
      <c r="D39" s="36" t="n">
        <f aca="false">D6/D7</f>
        <v>0.888778466305704</v>
      </c>
    </row>
    <row r="41" customFormat="false" ht="15" hidden="false" customHeight="false" outlineLevel="0" collapsed="false">
      <c r="A41" s="3" t="s">
        <v>182</v>
      </c>
      <c r="B41" s="4"/>
      <c r="C41" s="4"/>
      <c r="D41" s="4"/>
      <c r="E41" s="4"/>
    </row>
    <row r="42" customFormat="false" ht="15" hidden="false" customHeight="false" outlineLevel="0" collapsed="false">
      <c r="A42" s="5" t="s">
        <v>183</v>
      </c>
      <c r="B42" s="40" t="n">
        <f aca="false">Inputs!$B$5/B26</f>
        <v>18.7127764372744</v>
      </c>
      <c r="C42" s="40" t="n">
        <f aca="false">Inputs!$B$5/C26</f>
        <v>16.9824704439921</v>
      </c>
      <c r="D42" s="40" t="n">
        <f aca="false">Inputs!$B$5/D26</f>
        <v>15.0021340523557</v>
      </c>
    </row>
    <row r="43" customFormat="false" ht="15" hidden="false" customHeight="false" outlineLevel="0" collapsed="false">
      <c r="A43" s="5" t="s">
        <v>184</v>
      </c>
      <c r="B43" s="40" t="n">
        <f aca="false">Inputs!$B$5/B27</f>
        <v>2.80376588414917</v>
      </c>
      <c r="C43" s="40" t="n">
        <f aca="false">Inputs!$B$5/C27</f>
        <v>2.4658657252182</v>
      </c>
      <c r="D43" s="40" t="n">
        <f aca="false">Inputs!$B$5/D27</f>
        <v>2.16984435936463</v>
      </c>
    </row>
    <row r="44" customFormat="false" ht="15" hidden="false" customHeight="false" outlineLevel="0" collapsed="false">
      <c r="A44" s="18" t="s">
        <v>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1" t="s">
        <v>186</v>
      </c>
    </row>
    <row r="2" customFormat="false" ht="15" hidden="false" customHeight="false" outlineLevel="0" collapsed="false">
      <c r="A2" s="2" t="s">
        <v>187</v>
      </c>
    </row>
    <row r="4" customFormat="false" ht="15" hidden="false" customHeight="false" outlineLevel="0" collapsed="false">
      <c r="A4" s="3" t="s">
        <v>188</v>
      </c>
      <c r="B4" s="4"/>
      <c r="C4" s="4"/>
      <c r="D4" s="4"/>
      <c r="E4" s="4"/>
      <c r="F4" s="4"/>
      <c r="G4" s="4"/>
    </row>
    <row r="5" customFormat="false" ht="15" hidden="false" customHeight="false" outlineLevel="0" collapsed="false">
      <c r="A5" s="5" t="s">
        <v>45</v>
      </c>
      <c r="B5" s="15" t="n">
        <f aca="false">Inputs!$B$14</f>
        <v>0.1254</v>
      </c>
    </row>
    <row r="6" customFormat="false" ht="15" hidden="false" customHeight="false" outlineLevel="0" collapsed="false">
      <c r="A6" s="5" t="s">
        <v>189</v>
      </c>
      <c r="B6" s="15" t="n">
        <f aca="false">Inputs!$F$36</f>
        <v>0.1</v>
      </c>
    </row>
    <row r="7" customFormat="false" ht="15" hidden="false" customHeight="false" outlineLevel="0" collapsed="false">
      <c r="A7" s="5" t="s">
        <v>190</v>
      </c>
      <c r="B7" s="15" t="n">
        <f aca="false">AVERAGE(Forecast!C38,Forecast!D38)</f>
        <v>0.154191453651237</v>
      </c>
    </row>
    <row r="8" customFormat="false" ht="15" hidden="false" customHeight="false" outlineLevel="0" collapsed="false">
      <c r="A8" s="25" t="s">
        <v>191</v>
      </c>
      <c r="B8" s="41" t="n">
        <f aca="false">IF(B5&gt;B6,(B7-B6)/(B5-B6),NA())</f>
        <v>2.1335217972928</v>
      </c>
      <c r="C8" s="18" t="s">
        <v>192</v>
      </c>
    </row>
    <row r="9" customFormat="false" ht="15" hidden="false" customHeight="false" outlineLevel="0" collapsed="false">
      <c r="A9" s="5" t="s">
        <v>193</v>
      </c>
      <c r="B9" s="14" t="n">
        <f aca="false">Forecast!C27</f>
        <v>531.496904554294</v>
      </c>
    </row>
    <row r="10" customFormat="false" ht="15" hidden="false" customHeight="false" outlineLevel="0" collapsed="false">
      <c r="A10" s="5" t="s">
        <v>194</v>
      </c>
      <c r="B10" s="14" t="n">
        <f aca="false">Forecast!D27</f>
        <v>604.006455275792</v>
      </c>
    </row>
    <row r="11" customFormat="false" ht="15" hidden="false" customHeight="false" outlineLevel="0" collapsed="false">
      <c r="A11" s="5" t="s">
        <v>195</v>
      </c>
      <c r="B11" s="38" t="n">
        <f aca="false">AVERAGE(B9,B10)</f>
        <v>567.751679915043</v>
      </c>
    </row>
    <row r="12" customFormat="false" ht="15" hidden="false" customHeight="false" outlineLevel="0" collapsed="false">
      <c r="A12" s="25" t="s">
        <v>196</v>
      </c>
      <c r="B12" s="39" t="n">
        <f aca="false">B8*B11</f>
        <v>1211.31058454835</v>
      </c>
    </row>
    <row r="14" customFormat="false" ht="15" hidden="false" customHeight="false" outlineLevel="0" collapsed="false">
      <c r="A14" s="3" t="s">
        <v>197</v>
      </c>
      <c r="B14" s="4"/>
      <c r="C14" s="4"/>
      <c r="D14" s="4"/>
      <c r="E14" s="4"/>
      <c r="F14" s="4"/>
      <c r="G14" s="4"/>
    </row>
    <row r="15" customFormat="false" ht="15" hidden="false" customHeight="false" outlineLevel="0" collapsed="false">
      <c r="A15" s="11" t="s">
        <v>198</v>
      </c>
      <c r="B15" s="12" t="s">
        <v>199</v>
      </c>
      <c r="C15" s="12" t="s">
        <v>200</v>
      </c>
      <c r="D15" s="12" t="s">
        <v>201</v>
      </c>
      <c r="E15" s="12" t="s">
        <v>202</v>
      </c>
      <c r="F15" s="12" t="s">
        <v>203</v>
      </c>
      <c r="G15" s="12" t="s">
        <v>204</v>
      </c>
    </row>
    <row r="16" customFormat="false" ht="15" hidden="false" customHeight="false" outlineLevel="0" collapsed="false">
      <c r="A16" s="5" t="s">
        <v>205</v>
      </c>
      <c r="B16" s="30" t="n">
        <v>152133</v>
      </c>
      <c r="C16" s="28" t="n">
        <v>0.53</v>
      </c>
      <c r="D16" s="21" t="n">
        <f aca="false">B16*C16</f>
        <v>80630.49</v>
      </c>
      <c r="E16" s="16" t="n">
        <f aca="false">Inputs!$F$37</f>
        <v>0.2</v>
      </c>
      <c r="F16" s="21" t="n">
        <f aca="false">D16*(1-E16)</f>
        <v>64504.392</v>
      </c>
      <c r="G16" s="38" t="n">
        <f aca="false">F16/Inputs!$B$7</f>
        <v>90.0899329608939</v>
      </c>
    </row>
    <row r="17" customFormat="false" ht="15" hidden="false" customHeight="false" outlineLevel="0" collapsed="false">
      <c r="A17" s="5" t="s">
        <v>206</v>
      </c>
      <c r="B17" s="30" t="n">
        <v>78090</v>
      </c>
      <c r="C17" s="28" t="n">
        <v>0.51</v>
      </c>
      <c r="D17" s="21" t="n">
        <f aca="false">B17*C17</f>
        <v>39825.9</v>
      </c>
      <c r="E17" s="16" t="n">
        <f aca="false">Inputs!$F$37</f>
        <v>0.2</v>
      </c>
      <c r="F17" s="21" t="n">
        <f aca="false">D17*(1-E17)</f>
        <v>31860.72</v>
      </c>
      <c r="G17" s="38" t="n">
        <f aca="false">F17/Inputs!$B$7</f>
        <v>44.4982122905028</v>
      </c>
    </row>
    <row r="18" customFormat="false" ht="15" hidden="false" customHeight="false" outlineLevel="0" collapsed="false">
      <c r="A18" s="5" t="s">
        <v>207</v>
      </c>
      <c r="B18" s="30" t="n">
        <v>65002</v>
      </c>
      <c r="C18" s="28" t="n">
        <v>0.528</v>
      </c>
      <c r="D18" s="21" t="n">
        <f aca="false">B18*C18</f>
        <v>34321.056</v>
      </c>
      <c r="E18" s="16" t="n">
        <f aca="false">Inputs!$F$37</f>
        <v>0.2</v>
      </c>
      <c r="F18" s="21" t="n">
        <f aca="false">D18*(1-E18)</f>
        <v>27456.8448</v>
      </c>
      <c r="G18" s="38" t="n">
        <f aca="false">F18/Inputs!$B$7</f>
        <v>38.347548603352</v>
      </c>
    </row>
    <row r="19" customFormat="false" ht="15" hidden="false" customHeight="false" outlineLevel="0" collapsed="false">
      <c r="A19" s="25" t="s">
        <v>208</v>
      </c>
      <c r="D19" s="31" t="n">
        <f aca="false">SUM(D16:D18)</f>
        <v>154777.446</v>
      </c>
      <c r="F19" s="31" t="n">
        <f aca="false">SUM(F16:F18)</f>
        <v>123821.9568</v>
      </c>
      <c r="G19" s="39" t="n">
        <f aca="false">SUM(G16:G18)</f>
        <v>172.935693854749</v>
      </c>
    </row>
    <row r="20" customFormat="false" ht="15" hidden="false" customHeight="false" outlineLevel="0" collapsed="false">
      <c r="A20" s="18" t="s">
        <v>209</v>
      </c>
    </row>
    <row r="22" customFormat="false" ht="15" hidden="false" customHeight="false" outlineLevel="0" collapsed="false">
      <c r="A22" s="3" t="s">
        <v>210</v>
      </c>
      <c r="B22" s="4"/>
      <c r="C22" s="4"/>
      <c r="D22" s="4"/>
      <c r="E22" s="4"/>
      <c r="F22" s="4"/>
      <c r="G22" s="4"/>
    </row>
    <row r="23" customFormat="false" ht="15" hidden="false" customHeight="false" outlineLevel="0" collapsed="false">
      <c r="A23" s="5" t="s">
        <v>211</v>
      </c>
      <c r="B23" s="38" t="n">
        <f aca="false">B12+G19</f>
        <v>1384.2462784031</v>
      </c>
    </row>
    <row r="24" customFormat="false" ht="15" hidden="false" customHeight="false" outlineLevel="0" collapsed="false">
      <c r="A24" s="25" t="s">
        <v>212</v>
      </c>
      <c r="B24" s="42" t="n">
        <f aca="false">ROUND(B23,-1)</f>
        <v>1380</v>
      </c>
    </row>
    <row r="25" customFormat="false" ht="15" hidden="false" customHeight="false" outlineLevel="0" collapsed="false">
      <c r="A25" s="5" t="s">
        <v>31</v>
      </c>
      <c r="B25" s="14" t="n">
        <f aca="false">Inputs!$B$5</f>
        <v>1310.6</v>
      </c>
    </row>
    <row r="26" customFormat="false" ht="15" hidden="false" customHeight="false" outlineLevel="0" collapsed="false">
      <c r="A26" s="25" t="s">
        <v>6</v>
      </c>
      <c r="B26" s="29" t="n">
        <f aca="false">B24/B25-1</f>
        <v>0.0529528460247215</v>
      </c>
    </row>
    <row r="27" customFormat="false" ht="15" hidden="false" customHeight="false" outlineLevel="0" collapsed="false">
      <c r="A27" s="25" t="s">
        <v>3</v>
      </c>
      <c r="B27" s="25" t="str">
        <f aca="false">IF(B26&gt;=Inputs!$B$45,"BUY",IF(B26&lt;Inputs!$B$46,"SELL","HOLD"))</f>
        <v>HOLD</v>
      </c>
    </row>
    <row r="28" customFormat="false" ht="15" hidden="false" customHeight="false" outlineLevel="0" collapsed="false">
      <c r="A28" s="5" t="s">
        <v>7</v>
      </c>
      <c r="B28" s="43" t="str">
        <f aca="false">Inputs!$B$18</f>
        <v>Base</v>
      </c>
    </row>
    <row r="30" customFormat="false" ht="15" hidden="false" customHeight="false" outlineLevel="0" collapsed="false">
      <c r="A30" s="3" t="s">
        <v>213</v>
      </c>
      <c r="B30" s="4"/>
      <c r="C30" s="4"/>
      <c r="D30" s="4"/>
      <c r="E30" s="4"/>
      <c r="F30" s="4"/>
      <c r="G30" s="4"/>
    </row>
    <row r="31" customFormat="false" ht="15" hidden="false" customHeight="false" outlineLevel="0" collapsed="false">
      <c r="A31" s="5" t="s">
        <v>214</v>
      </c>
      <c r="B31" s="40" t="n">
        <f aca="false">(B25-G19)/B11</f>
        <v>2.00380614693291</v>
      </c>
    </row>
    <row r="32" customFormat="false" ht="15" hidden="false" customHeight="false" outlineLevel="0" collapsed="false">
      <c r="A32" s="5" t="s">
        <v>215</v>
      </c>
      <c r="B32" s="37" t="n">
        <f aca="false">(B7-B31*B5)/(1-B31)</f>
        <v>0.096717715338556</v>
      </c>
      <c r="C32" s="18" t="s">
        <v>216</v>
      </c>
    </row>
    <row r="34" customFormat="false" ht="15" hidden="false" customHeight="false" outlineLevel="0" collapsed="false">
      <c r="A34" s="3" t="s">
        <v>217</v>
      </c>
      <c r="B34" s="4"/>
      <c r="C34" s="4"/>
      <c r="D34" s="4"/>
      <c r="E34" s="4"/>
      <c r="F34" s="4"/>
      <c r="G34" s="4"/>
    </row>
    <row r="35" customFormat="false" ht="15" hidden="false" customHeight="false" outlineLevel="0" collapsed="false">
      <c r="A35" s="25" t="s">
        <v>218</v>
      </c>
      <c r="B35" s="44" t="n">
        <v>0.115</v>
      </c>
      <c r="C35" s="44" t="n">
        <v>0.12</v>
      </c>
      <c r="D35" s="44" t="n">
        <v>0.125</v>
      </c>
      <c r="E35" s="44" t="n">
        <v>0.13</v>
      </c>
      <c r="F35" s="44" t="n">
        <v>0.135</v>
      </c>
    </row>
    <row r="36" customFormat="false" ht="15" hidden="false" customHeight="false" outlineLevel="0" collapsed="false">
      <c r="A36" s="44" t="n">
        <v>0.14</v>
      </c>
      <c r="B36" s="45" t="n">
        <f aca="false">IF(B$35&gt;$B$6,ROUND(($A36-$B$6)/(B$35-$B$6)*$B$11+$G$19,-1),NA())</f>
        <v>1690</v>
      </c>
      <c r="C36" s="45" t="n">
        <f aca="false">IF(C$35&gt;$B$6,ROUND(($A36-$B$6)/(C$35-$B$6)*$B$11+$G$19,-1),NA())</f>
        <v>1310</v>
      </c>
      <c r="D36" s="45" t="n">
        <f aca="false">IF(D$35&gt;$B$6,ROUND(($A36-$B$6)/(D$35-$B$6)*$B$11+$G$19,-1),NA())</f>
        <v>1080</v>
      </c>
      <c r="E36" s="45" t="n">
        <f aca="false">IF(E$35&gt;$B$6,ROUND(($A36-$B$6)/(E$35-$B$6)*$B$11+$G$19,-1),NA())</f>
        <v>930</v>
      </c>
      <c r="F36" s="45" t="n">
        <f aca="false">IF(F$35&gt;$B$6,ROUND(($A36-$B$6)/(F$35-$B$6)*$B$11+$G$19,-1),NA())</f>
        <v>820</v>
      </c>
    </row>
    <row r="37" customFormat="false" ht="15" hidden="false" customHeight="false" outlineLevel="0" collapsed="false">
      <c r="A37" s="44" t="n">
        <v>0.15</v>
      </c>
      <c r="B37" s="45" t="n">
        <f aca="false">IF(B$35&gt;$B$6,ROUND(($A37-$B$6)/(B$35-$B$6)*$B$11+$G$19,-1),NA())</f>
        <v>2070</v>
      </c>
      <c r="C37" s="45" t="n">
        <f aca="false">IF(C$35&gt;$B$6,ROUND(($A37-$B$6)/(C$35-$B$6)*$B$11+$G$19,-1),NA())</f>
        <v>1590</v>
      </c>
      <c r="D37" s="45" t="n">
        <f aca="false">IF(D$35&gt;$B$6,ROUND(($A37-$B$6)/(D$35-$B$6)*$B$11+$G$19,-1),NA())</f>
        <v>1310</v>
      </c>
      <c r="E37" s="45" t="n">
        <f aca="false">IF(E$35&gt;$B$6,ROUND(($A37-$B$6)/(E$35-$B$6)*$B$11+$G$19,-1),NA())</f>
        <v>1120</v>
      </c>
      <c r="F37" s="45" t="n">
        <f aca="false">IF(F$35&gt;$B$6,ROUND(($A37-$B$6)/(F$35-$B$6)*$B$11+$G$19,-1),NA())</f>
        <v>980</v>
      </c>
    </row>
    <row r="38" customFormat="false" ht="15" hidden="false" customHeight="false" outlineLevel="0" collapsed="false">
      <c r="A38" s="44" t="n">
        <v>0.16</v>
      </c>
      <c r="B38" s="45" t="n">
        <f aca="false">IF(B$35&gt;$B$6,ROUND(($A38-$B$6)/(B$35-$B$6)*$B$11+$G$19,-1),NA())</f>
        <v>2440</v>
      </c>
      <c r="C38" s="45" t="n">
        <f aca="false">IF(C$35&gt;$B$6,ROUND(($A38-$B$6)/(C$35-$B$6)*$B$11+$G$19,-1),NA())</f>
        <v>1880</v>
      </c>
      <c r="D38" s="45" t="n">
        <f aca="false">IF(D$35&gt;$B$6,ROUND(($A38-$B$6)/(D$35-$B$6)*$B$11+$G$19,-1),NA())</f>
        <v>1540</v>
      </c>
      <c r="E38" s="45" t="n">
        <f aca="false">IF(E$35&gt;$B$6,ROUND(($A38-$B$6)/(E$35-$B$6)*$B$11+$G$19,-1),NA())</f>
        <v>1310</v>
      </c>
      <c r="F38" s="45" t="n">
        <f aca="false">IF(F$35&gt;$B$6,ROUND(($A38-$B$6)/(F$35-$B$6)*$B$11+$G$19,-1),NA())</f>
        <v>1150</v>
      </c>
    </row>
    <row r="39" customFormat="false" ht="15" hidden="false" customHeight="false" outlineLevel="0" collapsed="false">
      <c r="A39" s="44" t="n">
        <v>0.17</v>
      </c>
      <c r="B39" s="45" t="n">
        <f aca="false">IF(B$35&gt;$B$6,ROUND(($A39-$B$6)/(B$35-$B$6)*$B$11+$G$19,-1),NA())</f>
        <v>2820</v>
      </c>
      <c r="C39" s="45" t="n">
        <f aca="false">IF(C$35&gt;$B$6,ROUND(($A39-$B$6)/(C$35-$B$6)*$B$11+$G$19,-1),NA())</f>
        <v>2160</v>
      </c>
      <c r="D39" s="45" t="n">
        <f aca="false">IF(D$35&gt;$B$6,ROUND(($A39-$B$6)/(D$35-$B$6)*$B$11+$G$19,-1),NA())</f>
        <v>1760</v>
      </c>
      <c r="E39" s="45" t="n">
        <f aca="false">IF(E$35&gt;$B$6,ROUND(($A39-$B$6)/(E$35-$B$6)*$B$11+$G$19,-1),NA())</f>
        <v>1500</v>
      </c>
      <c r="F39" s="45" t="n">
        <f aca="false">IF(F$35&gt;$B$6,ROUND(($A39-$B$6)/(F$35-$B$6)*$B$11+$G$19,-1),NA())</f>
        <v>1310</v>
      </c>
    </row>
    <row r="40" customFormat="false" ht="15" hidden="false" customHeight="false" outlineLevel="0" collapsed="false">
      <c r="A40" s="44" t="n">
        <v>0.18</v>
      </c>
      <c r="B40" s="45" t="n">
        <f aca="false">IF(B$35&gt;$B$6,ROUND(($A40-$B$6)/(B$35-$B$6)*$B$11+$G$19,-1),NA())</f>
        <v>3200</v>
      </c>
      <c r="C40" s="45" t="n">
        <f aca="false">IF(C$35&gt;$B$6,ROUND(($A40-$B$6)/(C$35-$B$6)*$B$11+$G$19,-1),NA())</f>
        <v>2440</v>
      </c>
      <c r="D40" s="45" t="n">
        <f aca="false">IF(D$35&gt;$B$6,ROUND(($A40-$B$6)/(D$35-$B$6)*$B$11+$G$19,-1),NA())</f>
        <v>1990</v>
      </c>
      <c r="E40" s="45" t="n">
        <f aca="false">IF(E$35&gt;$B$6,ROUND(($A40-$B$6)/(E$35-$B$6)*$B$11+$G$19,-1),NA())</f>
        <v>1690</v>
      </c>
      <c r="F40" s="45" t="n">
        <f aca="false">IF(F$35&gt;$B$6,ROUND(($A40-$B$6)/(F$35-$B$6)*$B$11+$G$19,-1),NA())</f>
        <v>1470</v>
      </c>
    </row>
    <row r="42" customFormat="false" ht="15" hidden="false" customHeight="false" outlineLevel="0" collapsed="false">
      <c r="A42" s="3" t="s">
        <v>219</v>
      </c>
      <c r="B42" s="4"/>
      <c r="C42" s="4"/>
      <c r="D42" s="4"/>
      <c r="E42" s="4"/>
      <c r="F42" s="4"/>
      <c r="G42" s="4"/>
    </row>
    <row r="43" customFormat="false" ht="15" hidden="false" customHeight="false" outlineLevel="0" collapsed="false">
      <c r="A43" s="25" t="s">
        <v>220</v>
      </c>
      <c r="B43" s="44" t="n">
        <v>0.115</v>
      </c>
      <c r="C43" s="44" t="n">
        <v>0.12</v>
      </c>
      <c r="D43" s="44" t="n">
        <v>0.125</v>
      </c>
      <c r="E43" s="44" t="n">
        <v>0.13</v>
      </c>
      <c r="F43" s="44" t="n">
        <v>0.135</v>
      </c>
    </row>
    <row r="44" customFormat="false" ht="15" hidden="false" customHeight="false" outlineLevel="0" collapsed="false">
      <c r="A44" s="44" t="n">
        <v>0.085</v>
      </c>
      <c r="B44" s="45" t="n">
        <f aca="false">IF(B$43&gt;$A44,ROUND(($B$7-$A44)/(B$43-$A44)*$B$11+$G$19,-1),NA())</f>
        <v>1480</v>
      </c>
      <c r="C44" s="45" t="n">
        <f aca="false">IF(C$43&gt;$A44,ROUND(($B$7-$A44)/(C$43-$A44)*$B$11+$G$19,-1),NA())</f>
        <v>1300</v>
      </c>
      <c r="D44" s="45" t="n">
        <f aca="false">IF(D$43&gt;$A44,ROUND(($B$7-$A44)/(D$43-$A44)*$B$11+$G$19,-1),NA())</f>
        <v>1160</v>
      </c>
      <c r="E44" s="45" t="n">
        <f aca="false">IF(E$43&gt;$A44,ROUND(($B$7-$A44)/(E$43-$A44)*$B$11+$G$19,-1),NA())</f>
        <v>1050</v>
      </c>
      <c r="F44" s="45" t="n">
        <f aca="false">IF(F$43&gt;$A44,ROUND(($B$7-$A44)/(F$43-$A44)*$B$11+$G$19,-1),NA())</f>
        <v>960</v>
      </c>
    </row>
    <row r="45" customFormat="false" ht="15" hidden="false" customHeight="false" outlineLevel="0" collapsed="false">
      <c r="A45" s="44" t="n">
        <v>0.09</v>
      </c>
      <c r="B45" s="45" t="n">
        <f aca="false">IF(B$43&gt;$A45,ROUND(($B$7-$A45)/(B$43-$A45)*$B$11+$G$19,-1),NA())</f>
        <v>1630</v>
      </c>
      <c r="C45" s="45" t="n">
        <f aca="false">IF(C$43&gt;$A45,ROUND(($B$7-$A45)/(C$43-$A45)*$B$11+$G$19,-1),NA())</f>
        <v>1390</v>
      </c>
      <c r="D45" s="45" t="n">
        <f aca="false">IF(D$43&gt;$A45,ROUND(($B$7-$A45)/(D$43-$A45)*$B$11+$G$19,-1),NA())</f>
        <v>1210</v>
      </c>
      <c r="E45" s="45" t="n">
        <f aca="false">IF(E$43&gt;$A45,ROUND(($B$7-$A45)/(E$43-$A45)*$B$11+$G$19,-1),NA())</f>
        <v>1080</v>
      </c>
      <c r="F45" s="45" t="n">
        <f aca="false">IF(F$43&gt;$A45,ROUND(($B$7-$A45)/(F$43-$A45)*$B$11+$G$19,-1),NA())</f>
        <v>980</v>
      </c>
    </row>
    <row r="46" customFormat="false" ht="15" hidden="false" customHeight="false" outlineLevel="0" collapsed="false">
      <c r="A46" s="44" t="n">
        <v>0.095</v>
      </c>
      <c r="B46" s="45" t="n">
        <f aca="false">IF(B$43&gt;$A46,ROUND(($B$7-$A46)/(B$43-$A46)*$B$11+$G$19,-1),NA())</f>
        <v>1850</v>
      </c>
      <c r="C46" s="45" t="n">
        <f aca="false">IF(C$43&gt;$A46,ROUND(($B$7-$A46)/(C$43-$A46)*$B$11+$G$19,-1),NA())</f>
        <v>1520</v>
      </c>
      <c r="D46" s="45" t="n">
        <f aca="false">IF(D$43&gt;$A46,ROUND(($B$7-$A46)/(D$43-$A46)*$B$11+$G$19,-1),NA())</f>
        <v>1290</v>
      </c>
      <c r="E46" s="45" t="n">
        <f aca="false">IF(E$43&gt;$A46,ROUND(($B$7-$A46)/(E$43-$A46)*$B$11+$G$19,-1),NA())</f>
        <v>1130</v>
      </c>
      <c r="F46" s="45" t="n">
        <f aca="false">IF(F$43&gt;$A46,ROUND(($B$7-$A46)/(F$43-$A46)*$B$11+$G$19,-1),NA())</f>
        <v>1010</v>
      </c>
    </row>
    <row r="47" customFormat="false" ht="15" hidden="false" customHeight="false" outlineLevel="0" collapsed="false">
      <c r="A47" s="44" t="n">
        <v>0.1</v>
      </c>
      <c r="B47" s="45" t="n">
        <f aca="false">IF(B$43&gt;$A47,ROUND(($B$7-$A47)/(B$43-$A47)*$B$11+$G$19,-1),NA())</f>
        <v>2220</v>
      </c>
      <c r="C47" s="45" t="n">
        <f aca="false">IF(C$43&gt;$A47,ROUND(($B$7-$A47)/(C$43-$A47)*$B$11+$G$19,-1),NA())</f>
        <v>1710</v>
      </c>
      <c r="D47" s="45" t="n">
        <f aca="false">IF(D$43&gt;$A47,ROUND(($B$7-$A47)/(D$43-$A47)*$B$11+$G$19,-1),NA())</f>
        <v>1400</v>
      </c>
      <c r="E47" s="45" t="n">
        <f aca="false">IF(E$43&gt;$A47,ROUND(($B$7-$A47)/(E$43-$A47)*$B$11+$G$19,-1),NA())</f>
        <v>1200</v>
      </c>
      <c r="F47" s="45" t="n">
        <f aca="false">IF(F$43&gt;$A47,ROUND(($B$7-$A47)/(F$43-$A47)*$B$11+$G$19,-1),NA())</f>
        <v>1050</v>
      </c>
    </row>
    <row r="48" customFormat="false" ht="15" hidden="false" customHeight="false" outlineLevel="0" collapsed="false">
      <c r="A48" s="44" t="n">
        <v>0.105</v>
      </c>
      <c r="B48" s="45" t="n">
        <f aca="false">IF(B$43&gt;$A48,ROUND(($B$7-$A48)/(B$43-$A48)*$B$11+$G$19,-1),NA())</f>
        <v>2970</v>
      </c>
      <c r="C48" s="45" t="n">
        <f aca="false">IF(C$43&gt;$A48,ROUND(($B$7-$A48)/(C$43-$A48)*$B$11+$G$19,-1),NA())</f>
        <v>2030</v>
      </c>
      <c r="D48" s="45" t="n">
        <f aca="false">IF(D$43&gt;$A48,ROUND(($B$7-$A48)/(D$43-$A48)*$B$11+$G$19,-1),NA())</f>
        <v>1570</v>
      </c>
      <c r="E48" s="45" t="n">
        <f aca="false">IF(E$43&gt;$A48,ROUND(($B$7-$A48)/(E$43-$A48)*$B$11+$G$19,-1),NA())</f>
        <v>1290</v>
      </c>
      <c r="F48" s="45" t="n">
        <f aca="false">IF(F$43&gt;$A48,ROUND(($B$7-$A48)/(F$43-$A48)*$B$11+$G$19,-1),NA())</f>
        <v>1100</v>
      </c>
    </row>
    <row r="50" customFormat="false" ht="15" hidden="false" customHeight="false" outlineLevel="0" collapsed="false">
      <c r="A50" s="3" t="s">
        <v>221</v>
      </c>
      <c r="B50" s="4"/>
      <c r="C50" s="4"/>
      <c r="D50" s="4"/>
      <c r="E50" s="4"/>
      <c r="F50" s="4"/>
      <c r="G50" s="4"/>
    </row>
    <row r="51" customFormat="false" ht="15" hidden="false" customHeight="false" outlineLevel="0" collapsed="false">
      <c r="A51" s="11" t="s">
        <v>222</v>
      </c>
      <c r="B51" s="12" t="s">
        <v>223</v>
      </c>
      <c r="C51" s="12" t="s">
        <v>224</v>
      </c>
      <c r="D51" s="12" t="s">
        <v>3</v>
      </c>
      <c r="E51" s="12" t="s">
        <v>225</v>
      </c>
      <c r="F51" s="12" t="s">
        <v>226</v>
      </c>
    </row>
    <row r="52" customFormat="false" ht="15" hidden="false" customHeight="false" outlineLevel="0" collapsed="false">
      <c r="A52" s="25" t="s">
        <v>54</v>
      </c>
      <c r="B52" s="45" t="n">
        <v>900</v>
      </c>
      <c r="C52" s="36" t="n">
        <v>-0.31329162215779</v>
      </c>
      <c r="D52" s="5" t="s">
        <v>227</v>
      </c>
      <c r="E52" s="21" t="n">
        <v>52924.7098412355</v>
      </c>
      <c r="F52" s="36" t="n">
        <v>0.13322209815073</v>
      </c>
    </row>
    <row r="53" customFormat="false" ht="15" hidden="false" customHeight="false" outlineLevel="0" collapsed="false">
      <c r="A53" s="25" t="s">
        <v>55</v>
      </c>
      <c r="B53" s="45" t="n">
        <v>1380</v>
      </c>
      <c r="C53" s="36" t="n">
        <v>0.0529528460247215</v>
      </c>
      <c r="D53" s="5" t="s">
        <v>228</v>
      </c>
      <c r="E53" s="21" t="n">
        <v>62550.4076103526</v>
      </c>
      <c r="F53" s="36" t="n">
        <v>0.153871679422957</v>
      </c>
    </row>
    <row r="54" customFormat="false" ht="15" hidden="false" customHeight="false" outlineLevel="0" collapsed="false">
      <c r="A54" s="25" t="s">
        <v>56</v>
      </c>
      <c r="B54" s="45" t="n">
        <v>1740</v>
      </c>
      <c r="C54" s="36" t="n">
        <v>0.327636197161606</v>
      </c>
      <c r="D54" s="5" t="s">
        <v>229</v>
      </c>
      <c r="E54" s="21" t="n">
        <v>67884.8017917154</v>
      </c>
      <c r="F54" s="36" t="n">
        <v>0.164816817757728</v>
      </c>
    </row>
    <row r="55" customFormat="false" ht="15" hidden="false" customHeight="false" outlineLevel="0" collapsed="false">
      <c r="A55" s="18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7" min="6" style="0" width="18"/>
  </cols>
  <sheetData>
    <row r="1" customFormat="false" ht="17.35" hidden="false" customHeight="false" outlineLevel="0" collapsed="false">
      <c r="A1" s="1" t="s">
        <v>231</v>
      </c>
    </row>
    <row r="2" customFormat="false" ht="15" hidden="false" customHeight="false" outlineLevel="0" collapsed="false">
      <c r="A2" s="2" t="s">
        <v>232</v>
      </c>
    </row>
    <row r="4" customFormat="false" ht="15" hidden="false" customHeight="false" outlineLevel="0" collapsed="false">
      <c r="A4" s="11" t="s">
        <v>233</v>
      </c>
      <c r="B4" s="12" t="s">
        <v>234</v>
      </c>
      <c r="C4" s="12" t="s">
        <v>235</v>
      </c>
      <c r="D4" s="12" t="s">
        <v>236</v>
      </c>
      <c r="E4" s="12" t="s">
        <v>237</v>
      </c>
      <c r="F4" s="12" t="s">
        <v>238</v>
      </c>
      <c r="G4" s="12" t="s">
        <v>239</v>
      </c>
    </row>
    <row r="5" customFormat="false" ht="15" hidden="false" customHeight="false" outlineLevel="0" collapsed="false">
      <c r="A5" s="25" t="s">
        <v>240</v>
      </c>
      <c r="B5" s="5" t="s">
        <v>241</v>
      </c>
      <c r="C5" s="17" t="n">
        <v>1310.6</v>
      </c>
      <c r="D5" s="46" t="n">
        <v>2.4711</v>
      </c>
      <c r="E5" s="28" t="n">
        <v>0.1607</v>
      </c>
      <c r="F5" s="30" t="n">
        <v>940802</v>
      </c>
      <c r="G5" s="47" t="n">
        <f aca="false">D5/(E5*100)</f>
        <v>0.153771001866833</v>
      </c>
    </row>
    <row r="6" customFormat="false" ht="15" hidden="false" customHeight="false" outlineLevel="0" collapsed="false">
      <c r="A6" s="5" t="s">
        <v>242</v>
      </c>
      <c r="B6" s="5" t="s">
        <v>243</v>
      </c>
      <c r="C6" s="17" t="n">
        <v>721.2</v>
      </c>
      <c r="D6" s="46" t="n">
        <v>1.8313</v>
      </c>
      <c r="E6" s="28" t="n">
        <v>0.1384</v>
      </c>
      <c r="F6" s="30" t="n">
        <v>1111981</v>
      </c>
      <c r="G6" s="47" t="n">
        <f aca="false">D6/(E6*100)</f>
        <v>0.13231936416185</v>
      </c>
    </row>
    <row r="7" customFormat="false" ht="15" hidden="false" customHeight="false" outlineLevel="0" collapsed="false">
      <c r="A7" s="5" t="s">
        <v>244</v>
      </c>
      <c r="B7" s="5" t="s">
        <v>245</v>
      </c>
      <c r="C7" s="17" t="n">
        <v>418.35</v>
      </c>
      <c r="D7" s="46" t="n">
        <v>2.2961</v>
      </c>
      <c r="F7" s="30" t="n">
        <v>416170</v>
      </c>
    </row>
    <row r="8" customFormat="false" ht="15" hidden="false" customHeight="false" outlineLevel="0" collapsed="false">
      <c r="A8" s="5" t="s">
        <v>246</v>
      </c>
      <c r="B8" s="5" t="s">
        <v>247</v>
      </c>
      <c r="C8" s="17" t="n">
        <v>1217.1</v>
      </c>
      <c r="D8" s="46" t="n">
        <v>1.6962</v>
      </c>
      <c r="E8" s="28" t="n">
        <v>0.1335</v>
      </c>
      <c r="F8" s="30" t="n">
        <v>378967</v>
      </c>
      <c r="G8" s="47" t="n">
        <f aca="false">D8/(E8*100)</f>
        <v>0.127056179775281</v>
      </c>
    </row>
    <row r="9" customFormat="false" ht="15" hidden="false" customHeight="false" outlineLevel="0" collapsed="false">
      <c r="A9" s="5" t="s">
        <v>248</v>
      </c>
      <c r="B9" s="5" t="s">
        <v>249</v>
      </c>
      <c r="C9" s="17" t="n">
        <v>954.1</v>
      </c>
      <c r="D9" s="46" t="n">
        <v>1.416</v>
      </c>
      <c r="E9" s="28" t="n">
        <v>0.1518</v>
      </c>
      <c r="F9" s="30" t="n">
        <v>880693</v>
      </c>
      <c r="G9" s="47" t="n">
        <f aca="false">D9/(E9*100)</f>
        <v>0.0932806324110672</v>
      </c>
    </row>
    <row r="10" customFormat="false" ht="15" hidden="false" customHeight="false" outlineLevel="0" collapsed="false">
      <c r="A10" s="25" t="s">
        <v>250</v>
      </c>
      <c r="D10" s="41" t="n">
        <f aca="false">MEDIAN(D6:D9)</f>
        <v>1.76375</v>
      </c>
      <c r="E10" s="29" t="n">
        <f aca="false">MEDIAN(E6:E9)</f>
        <v>0.1384</v>
      </c>
      <c r="G10" s="48" t="n">
        <f aca="false">MEDIAN(G6:G9)</f>
        <v>0.127056179775281</v>
      </c>
    </row>
    <row r="11" customFormat="false" ht="15" hidden="false" customHeight="false" outlineLevel="0" collapsed="false">
      <c r="A11" s="25" t="s">
        <v>251</v>
      </c>
      <c r="D11" s="29" t="n">
        <f aca="false">D5/D10-1</f>
        <v>0.401048901488306</v>
      </c>
    </row>
    <row r="12" customFormat="false" ht="15" hidden="false" customHeight="false" outlineLevel="0" collapsed="false">
      <c r="A12" s="5" t="s">
        <v>252</v>
      </c>
      <c r="E12" s="49" t="n">
        <f aca="false">(E5-E10)*100</f>
        <v>2.23</v>
      </c>
    </row>
    <row r="14" customFormat="false" ht="15" hidden="false" customHeight="false" outlineLevel="0" collapsed="false">
      <c r="A14" s="18" t="s">
        <v>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44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254</v>
      </c>
    </row>
    <row r="3" customFormat="false" ht="15" hidden="false" customHeight="false" outlineLevel="0" collapsed="false">
      <c r="A3" s="11" t="s">
        <v>255</v>
      </c>
      <c r="B3" s="12" t="s">
        <v>256</v>
      </c>
      <c r="C3" s="12" t="s">
        <v>257</v>
      </c>
    </row>
    <row r="4" customFormat="false" ht="15" hidden="false" customHeight="false" outlineLevel="0" collapsed="false">
      <c r="A4" s="5" t="s">
        <v>258</v>
      </c>
      <c r="B4" s="5" t="s">
        <v>259</v>
      </c>
      <c r="C4" s="50" t="s">
        <v>260</v>
      </c>
    </row>
    <row r="5" customFormat="false" ht="15" hidden="false" customHeight="false" outlineLevel="0" collapsed="false">
      <c r="A5" s="5" t="s">
        <v>261</v>
      </c>
      <c r="B5" s="5" t="s">
        <v>262</v>
      </c>
      <c r="C5" s="50" t="s">
        <v>263</v>
      </c>
    </row>
    <row r="6" customFormat="false" ht="15" hidden="false" customHeight="false" outlineLevel="0" collapsed="false">
      <c r="A6" s="5" t="s">
        <v>264</v>
      </c>
      <c r="B6" s="5" t="s">
        <v>265</v>
      </c>
      <c r="C6" s="50" t="s">
        <v>266</v>
      </c>
    </row>
    <row r="7" customFormat="false" ht="15" hidden="false" customHeight="false" outlineLevel="0" collapsed="false">
      <c r="A7" s="5" t="s">
        <v>267</v>
      </c>
      <c r="B7" s="5" t="s">
        <v>268</v>
      </c>
      <c r="C7" s="50" t="s">
        <v>269</v>
      </c>
    </row>
    <row r="8" customFormat="false" ht="15" hidden="false" customHeight="false" outlineLevel="0" collapsed="false">
      <c r="A8" s="5" t="s">
        <v>270</v>
      </c>
      <c r="B8" s="5" t="s">
        <v>271</v>
      </c>
      <c r="C8" s="50" t="s">
        <v>272</v>
      </c>
    </row>
    <row r="9" customFormat="false" ht="15" hidden="false" customHeight="false" outlineLevel="0" collapsed="false">
      <c r="A9" s="5" t="s">
        <v>273</v>
      </c>
      <c r="B9" s="5" t="s">
        <v>274</v>
      </c>
      <c r="C9" s="50" t="s">
        <v>275</v>
      </c>
    </row>
    <row r="10" customFormat="false" ht="15" hidden="false" customHeight="false" outlineLevel="0" collapsed="false">
      <c r="A10" s="5" t="s">
        <v>276</v>
      </c>
      <c r="B10" s="5" t="s">
        <v>277</v>
      </c>
      <c r="C10" s="50" t="s">
        <v>278</v>
      </c>
    </row>
    <row r="11" customFormat="false" ht="15" hidden="false" customHeight="false" outlineLevel="0" collapsed="false">
      <c r="A11" s="5" t="s">
        <v>279</v>
      </c>
      <c r="B11" s="5" t="s">
        <v>280</v>
      </c>
      <c r="C11" s="50" t="s">
        <v>281</v>
      </c>
    </row>
    <row r="12" customFormat="false" ht="15" hidden="false" customHeight="false" outlineLevel="0" collapsed="false">
      <c r="A12" s="5" t="s">
        <v>282</v>
      </c>
      <c r="B12" s="5" t="s">
        <v>283</v>
      </c>
      <c r="C12" s="50" t="s">
        <v>284</v>
      </c>
    </row>
    <row r="13" customFormat="false" ht="15" hidden="false" customHeight="false" outlineLevel="0" collapsed="false">
      <c r="A13" s="5" t="s">
        <v>285</v>
      </c>
      <c r="B13" s="5" t="s">
        <v>286</v>
      </c>
      <c r="C13" s="50" t="s">
        <v>287</v>
      </c>
    </row>
    <row r="14" customFormat="false" ht="15" hidden="false" customHeight="false" outlineLevel="0" collapsed="false">
      <c r="A14" s="5" t="s">
        <v>288</v>
      </c>
      <c r="B14" s="5" t="s">
        <v>289</v>
      </c>
      <c r="C14" s="50" t="s">
        <v>290</v>
      </c>
    </row>
  </sheetData>
  <hyperlinks>
    <hyperlink ref="C4" r:id="rId1" display="https://www.icici.bank.in/about-us/news-room/2026/performance-review-quarter-ended-march-31-2026"/>
    <hyperlink ref="C5" r:id="rId2" display="https://www.icici.bank.in/about-us/article/performance-review-quarter-ended-march-31-2024"/>
    <hyperlink ref="C6" r:id="rId3" display="https://www.icici.bank.in/about-us/news-room/2023/performance-review-quarter-ended-march-thirty-one-two-zero-two-three"/>
    <hyperlink ref="C7" r:id="rId4" display="https://www.jmfinancialservices.in/market-news-and-insights/1711332"/>
    <hyperlink ref="C8" r:id="rId5" display="https://www.marketbeat.com/instant-alerts/icici-bank-q1-earnings-call-highlights-2026-07-18/"/>
    <hyperlink ref="C9" r:id="rId6" display="https://finance.yahoo.com/quote/ICICIBANK.NS"/>
    <hyperlink ref="C10" r:id="rId7" display="https://tradingeconomics.com/india/government-bond-yield/news/587153"/>
    <hyperlink ref="C11" r:id="rId8" display="https://hellobanker.in/minutes-of-the-rbi-monetary-policy-committee-meeting-held-from-august-3-to-5-2026/"/>
    <hyperlink ref="C12" r:id="rId9" display="https://rbi.org.in/scriptS/BS_PressReleaseDisplay.aspx?prid=63031"/>
    <hyperlink ref="C13" r:id="rId10" display="https://upstox.com/news/market-news/stocks/icici-bank-shares-in-focus-on-completing-acquisition-of-2-stake-in-icici-prudential-life-for-1-470-crore-all-you-need-to-know/article-199699/"/>
    <hyperlink ref="C14" r:id="rId11" display="https://www.business-standard.com/markets/capital-market-news/icici-bank-says-icici-prudential-amc-files-rhp-for-ipo-125120600153_1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2026-10-03T18:31:01Z</dcterms:created>
  <dc:creator>openpyxl</dc:creator>
  <dc:description/>
  <dc:language>en-US</dc:language>
  <cp:lastModifiedBy/>
  <dcterms:modified xsi:type="dcterms:W3CDTF">2026-10-03T18:31:01Z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